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++\SoftwareInteroperability\Data\"/>
    </mc:Choice>
  </mc:AlternateContent>
  <xr:revisionPtr revIDLastSave="0" documentId="13_ncr:1_{D009952E-5EC6-4B15-9267-56A6FDD84FD8}" xr6:coauthVersionLast="47" xr6:coauthVersionMax="47" xr10:uidLastSave="{00000000-0000-0000-0000-000000000000}"/>
  <bookViews>
    <workbookView xWindow="22932" yWindow="-108" windowWidth="23256" windowHeight="13176" xr2:uid="{9A02AB07-3C6C-4C2C-A3F0-E5C527E008B8}"/>
  </bookViews>
  <sheets>
    <sheet name="Basic Functionality" sheetId="1" r:id="rId1"/>
    <sheet name="Time Series" sheetId="4" r:id="rId2"/>
    <sheet name="Statistical Tests 1" sheetId="2" r:id="rId3"/>
    <sheet name="Statistical Tests 2" sheetId="5" r:id="rId4"/>
  </sheets>
  <definedNames>
    <definedName name="_xlchart.v1.0" hidden="1">'Statistical Tests 1'!$U$2</definedName>
    <definedName name="_xlchart.v1.1" hidden="1">'Statistical Tests 1'!$U$3:$U$251</definedName>
    <definedName name="_xlchart.v1.2" hidden="1">'Statistical Tests 1'!$V$2</definedName>
    <definedName name="_xlchart.v1.3" hidden="1">'Statistical Tests 1'!$V$3:$V$251</definedName>
    <definedName name="_xlchart.v1.4" hidden="1">'Statistical Tests 1'!$K$3</definedName>
    <definedName name="_xlchart.v1.5" hidden="1">'Statistical Tests 1'!$L$3</definedName>
    <definedName name="_xlchart.v1.6" hidden="1">'Statistical Tests 1'!$M$2</definedName>
    <definedName name="_xlchart.v1.7" hidden="1">'Statistical Tests 1'!$M$3:$M$12</definedName>
    <definedName name="xs">'Basic Functionality'!$B$3:$B$12</definedName>
    <definedName name="ys">'Basic Functionality'!$C$3:$C$12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5" l="1"/>
  <c r="X3" i="5" a="1"/>
  <c r="O3" i="5" a="1"/>
  <c r="E3" i="5" a="1"/>
  <c r="X3" i="2" a="1"/>
  <c r="O3" i="2" a="1"/>
  <c r="E3" i="2" a="1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E3" i="4" a="1"/>
  <c r="H41" i="1"/>
  <c r="E41" i="1" a="1"/>
  <c r="H40" i="1"/>
  <c r="E40" i="1" a="1"/>
  <c r="H39" i="1"/>
  <c r="E39" i="1" a="1"/>
  <c r="H38" i="1"/>
  <c r="E38" i="1" a="1"/>
  <c r="H37" i="1"/>
  <c r="E37" i="1" a="1"/>
  <c r="H36" i="1"/>
  <c r="E36" i="1" a="1"/>
  <c r="H35" i="1"/>
  <c r="E35" i="1" a="1"/>
  <c r="H34" i="1"/>
  <c r="E34" i="1" a="1"/>
  <c r="H33" i="1"/>
  <c r="E33" i="1" a="1"/>
  <c r="H32" i="1"/>
  <c r="E32" i="1" a="1"/>
  <c r="H31" i="1"/>
  <c r="E31" i="1" a="1"/>
  <c r="H30" i="1"/>
  <c r="E30" i="1" a="1"/>
  <c r="H29" i="1"/>
  <c r="E29" i="1" a="1"/>
  <c r="H28" i="1"/>
  <c r="E28" i="1" a="1"/>
  <c r="H27" i="1"/>
  <c r="E27" i="1" a="1"/>
  <c r="H26" i="1"/>
  <c r="E26" i="1" a="1"/>
  <c r="Q3" i="1" a="1"/>
  <c r="K3" i="1" a="1"/>
  <c r="E3" i="1" a="1"/>
  <c r="P7" i="5" l="1"/>
  <c r="S7" i="5" s="1"/>
  <c r="O7" i="5"/>
  <c r="P6" i="5"/>
  <c r="S6" i="5" s="1"/>
  <c r="O6" i="5"/>
  <c r="P5" i="5"/>
  <c r="S5" i="5" s="1"/>
  <c r="O5" i="5"/>
  <c r="P4" i="5"/>
  <c r="S4" i="5" s="1"/>
  <c r="O4" i="5"/>
  <c r="P3" i="5"/>
  <c r="S3" i="5" s="1"/>
  <c r="O3" i="5"/>
  <c r="E5" i="5"/>
  <c r="Y10" i="5"/>
  <c r="AB10" i="5" s="1"/>
  <c r="X10" i="5"/>
  <c r="Y9" i="5"/>
  <c r="AB9" i="5" s="1"/>
  <c r="X9" i="5"/>
  <c r="Y8" i="5"/>
  <c r="AB8" i="5" s="1"/>
  <c r="X8" i="5"/>
  <c r="Y7" i="5"/>
  <c r="AB7" i="5" s="1"/>
  <c r="X7" i="5"/>
  <c r="Y6" i="5"/>
  <c r="AB6" i="5" s="1"/>
  <c r="X6" i="5"/>
  <c r="Y5" i="5"/>
  <c r="AB5" i="5" s="1"/>
  <c r="X5" i="5"/>
  <c r="Y4" i="5"/>
  <c r="AB4" i="5" s="1"/>
  <c r="X4" i="5"/>
  <c r="Y3" i="5"/>
  <c r="AB3" i="5" s="1"/>
  <c r="X3" i="5"/>
  <c r="F7" i="5"/>
  <c r="I7" i="5" s="1"/>
  <c r="E7" i="5"/>
  <c r="F6" i="5"/>
  <c r="I6" i="5" s="1"/>
  <c r="E6" i="5"/>
  <c r="F5" i="5"/>
  <c r="I5" i="5" s="1"/>
  <c r="F4" i="5"/>
  <c r="I4" i="5" s="1"/>
  <c r="E4" i="5"/>
  <c r="F3" i="5"/>
  <c r="I3" i="5" s="1"/>
  <c r="E3" i="5"/>
  <c r="P8" i="2"/>
  <c r="S8" i="2" s="1"/>
  <c r="O8" i="2"/>
  <c r="P7" i="2"/>
  <c r="S7" i="2" s="1"/>
  <c r="O7" i="2"/>
  <c r="P6" i="2"/>
  <c r="S6" i="2" s="1"/>
  <c r="O6" i="2"/>
  <c r="P5" i="2"/>
  <c r="S5" i="2" s="1"/>
  <c r="O5" i="2"/>
  <c r="P4" i="2"/>
  <c r="S4" i="2" s="1"/>
  <c r="O4" i="2"/>
  <c r="P3" i="2"/>
  <c r="S3" i="2" s="1"/>
  <c r="O3" i="2"/>
  <c r="E3" i="2"/>
  <c r="Y11" i="2"/>
  <c r="AB11" i="2" s="1"/>
  <c r="X11" i="2"/>
  <c r="Y10" i="2"/>
  <c r="AB10" i="2" s="1"/>
  <c r="X10" i="2"/>
  <c r="Y9" i="2"/>
  <c r="AB9" i="2" s="1"/>
  <c r="X9" i="2"/>
  <c r="Y8" i="2"/>
  <c r="AB8" i="2" s="1"/>
  <c r="X8" i="2"/>
  <c r="Y7" i="2"/>
  <c r="AB7" i="2" s="1"/>
  <c r="X7" i="2"/>
  <c r="Y6" i="2"/>
  <c r="AB6" i="2" s="1"/>
  <c r="X6" i="2"/>
  <c r="Y5" i="2"/>
  <c r="AB5" i="2" s="1"/>
  <c r="X5" i="2"/>
  <c r="Y4" i="2"/>
  <c r="AB4" i="2" s="1"/>
  <c r="X4" i="2"/>
  <c r="Y3" i="2"/>
  <c r="AB3" i="2" s="1"/>
  <c r="X3" i="2"/>
  <c r="F8" i="2"/>
  <c r="I8" i="2" s="1"/>
  <c r="E8" i="2"/>
  <c r="F7" i="2"/>
  <c r="I7" i="2" s="1"/>
  <c r="E7" i="2"/>
  <c r="F6" i="2"/>
  <c r="I6" i="2" s="1"/>
  <c r="E6" i="2"/>
  <c r="F5" i="2"/>
  <c r="I5" i="2" s="1"/>
  <c r="E5" i="2"/>
  <c r="F4" i="2"/>
  <c r="I4" i="2" s="1"/>
  <c r="E4" i="2"/>
  <c r="F3" i="2"/>
  <c r="I3" i="2" s="1"/>
  <c r="G11" i="4"/>
  <c r="G10" i="4"/>
  <c r="G9" i="4"/>
  <c r="G8" i="4"/>
  <c r="G6" i="4"/>
  <c r="G5" i="4"/>
  <c r="E16" i="4"/>
  <c r="G16" i="4"/>
  <c r="E17" i="4"/>
  <c r="E15" i="4"/>
  <c r="E14" i="4"/>
  <c r="E13" i="4"/>
  <c r="E12" i="4"/>
  <c r="E11" i="4"/>
  <c r="E10" i="4"/>
  <c r="E9" i="4"/>
  <c r="E8" i="4"/>
  <c r="E7" i="4"/>
  <c r="G7" i="4" s="1"/>
  <c r="E6" i="4"/>
  <c r="E5" i="4"/>
  <c r="E4" i="4"/>
  <c r="G4" i="4" s="1"/>
  <c r="E3" i="4"/>
  <c r="G3" i="4" s="1"/>
  <c r="I41" i="1"/>
  <c r="I35" i="1"/>
  <c r="F35" i="1"/>
  <c r="I34" i="1"/>
  <c r="F30" i="1"/>
  <c r="E30" i="1"/>
  <c r="R11" i="1"/>
  <c r="U11" i="1" s="1"/>
  <c r="Q11" i="1"/>
  <c r="R10" i="1"/>
  <c r="U10" i="1" s="1"/>
  <c r="Q10" i="1"/>
  <c r="R9" i="1"/>
  <c r="U9" i="1" s="1"/>
  <c r="Q9" i="1"/>
  <c r="R8" i="1"/>
  <c r="U8" i="1" s="1"/>
  <c r="Q8" i="1"/>
  <c r="R7" i="1"/>
  <c r="U7" i="1" s="1"/>
  <c r="Q7" i="1"/>
  <c r="R6" i="1"/>
  <c r="U6" i="1" s="1"/>
  <c r="Q6" i="1"/>
  <c r="R5" i="1"/>
  <c r="U5" i="1" s="1"/>
  <c r="Q5" i="1"/>
  <c r="R4" i="1"/>
  <c r="U4" i="1" s="1"/>
  <c r="Q4" i="1"/>
  <c r="R3" i="1"/>
  <c r="U3" i="1" s="1"/>
  <c r="Q3" i="1"/>
  <c r="K6" i="1"/>
  <c r="L5" i="1"/>
  <c r="O5" i="1" s="1"/>
  <c r="K5" i="1"/>
  <c r="L4" i="1"/>
  <c r="O4" i="1" s="1"/>
  <c r="K4" i="1"/>
  <c r="L3" i="1"/>
  <c r="O3" i="1" s="1"/>
  <c r="K3" i="1"/>
  <c r="F39" i="1"/>
  <c r="E39" i="1"/>
  <c r="F37" i="1"/>
  <c r="E37" i="1"/>
  <c r="F36" i="1"/>
  <c r="E36" i="1"/>
  <c r="F28" i="1"/>
  <c r="E28" i="1"/>
  <c r="E38" i="1"/>
  <c r="I37" i="1"/>
  <c r="F27" i="1"/>
  <c r="E27" i="1"/>
  <c r="F20" i="1"/>
  <c r="I20" i="1" s="1"/>
  <c r="F19" i="1"/>
  <c r="I19" i="1" s="1"/>
  <c r="F18" i="1"/>
  <c r="I18" i="1" s="1"/>
  <c r="F13" i="1"/>
  <c r="I13" i="1" s="1"/>
  <c r="F10" i="1"/>
  <c r="I10" i="1" s="1"/>
  <c r="E9" i="1"/>
  <c r="F32" i="1"/>
  <c r="E32" i="1"/>
  <c r="F31" i="1"/>
  <c r="E31" i="1"/>
  <c r="F29" i="1"/>
  <c r="E29" i="1"/>
  <c r="F26" i="1"/>
  <c r="E26" i="1"/>
  <c r="L19" i="1"/>
  <c r="O19" i="1" s="1"/>
  <c r="L17" i="1"/>
  <c r="O17" i="1" s="1"/>
  <c r="L15" i="1"/>
  <c r="O15" i="1" s="1"/>
  <c r="L13" i="1"/>
  <c r="O13" i="1" s="1"/>
  <c r="K13" i="1"/>
  <c r="L12" i="1"/>
  <c r="O12" i="1" s="1"/>
  <c r="K12" i="1"/>
  <c r="L10" i="1"/>
  <c r="O10" i="1" s="1"/>
  <c r="L9" i="1"/>
  <c r="O9" i="1" s="1"/>
  <c r="L8" i="1"/>
  <c r="O8" i="1" s="1"/>
  <c r="L7" i="1"/>
  <c r="O7" i="1" s="1"/>
  <c r="K7" i="1"/>
  <c r="L6" i="1"/>
  <c r="O6" i="1" s="1"/>
  <c r="F17" i="1"/>
  <c r="I17" i="1" s="1"/>
  <c r="F16" i="1"/>
  <c r="I16" i="1" s="1"/>
  <c r="E16" i="1"/>
  <c r="F15" i="1"/>
  <c r="I15" i="1" s="1"/>
  <c r="E15" i="1"/>
  <c r="F12" i="1"/>
  <c r="I12" i="1" s="1"/>
  <c r="E12" i="1"/>
  <c r="E11" i="1"/>
  <c r="E10" i="1"/>
  <c r="F9" i="1"/>
  <c r="I9" i="1" s="1"/>
  <c r="F6" i="1"/>
  <c r="I6" i="1" s="1"/>
  <c r="F4" i="1"/>
  <c r="I4" i="1" s="1"/>
  <c r="E4" i="1"/>
  <c r="F3" i="1"/>
  <c r="I3" i="1" s="1"/>
  <c r="E3" i="1"/>
  <c r="I31" i="1"/>
  <c r="I29" i="1"/>
  <c r="F41" i="1"/>
  <c r="E41" i="1"/>
  <c r="E35" i="1"/>
  <c r="F33" i="1"/>
  <c r="E33" i="1"/>
  <c r="I32" i="1"/>
  <c r="F40" i="1"/>
  <c r="E40" i="1"/>
  <c r="I39" i="1"/>
  <c r="F34" i="1"/>
  <c r="E34" i="1"/>
  <c r="F38" i="1"/>
  <c r="L20" i="1"/>
  <c r="O20" i="1" s="1"/>
  <c r="K20" i="1"/>
  <c r="K19" i="1"/>
  <c r="L18" i="1"/>
  <c r="O18" i="1" s="1"/>
  <c r="K18" i="1"/>
  <c r="K17" i="1"/>
  <c r="L16" i="1"/>
  <c r="O16" i="1" s="1"/>
  <c r="K16" i="1"/>
  <c r="K15" i="1"/>
  <c r="L14" i="1"/>
  <c r="O14" i="1" s="1"/>
  <c r="K14" i="1"/>
  <c r="L11" i="1"/>
  <c r="O11" i="1" s="1"/>
  <c r="K11" i="1"/>
  <c r="K10" i="1"/>
  <c r="K9" i="1"/>
  <c r="K8" i="1"/>
  <c r="E20" i="1"/>
  <c r="E19" i="1"/>
  <c r="E18" i="1"/>
  <c r="E17" i="1"/>
  <c r="F14" i="1"/>
  <c r="I14" i="1" s="1"/>
  <c r="E14" i="1"/>
  <c r="E13" i="1"/>
  <c r="F11" i="1"/>
  <c r="I11" i="1" s="1"/>
  <c r="F8" i="1"/>
  <c r="I8" i="1" s="1"/>
  <c r="E8" i="1"/>
  <c r="F7" i="1"/>
  <c r="I7" i="1" s="1"/>
  <c r="E7" i="1"/>
  <c r="E6" i="1"/>
  <c r="F5" i="1"/>
  <c r="I5" i="1" s="1"/>
  <c r="E5" i="1"/>
  <c r="G15" i="4" l="1"/>
  <c r="G13" i="4"/>
  <c r="G14" i="4"/>
  <c r="G12" i="4"/>
  <c r="G17" i="4"/>
  <c r="I36" i="1"/>
  <c r="I27" i="1"/>
  <c r="I38" i="1"/>
  <c r="I33" i="1"/>
  <c r="I30" i="1"/>
  <c r="I40" i="1"/>
  <c r="I28" i="1"/>
  <c r="I26" i="1"/>
</calcChain>
</file>

<file path=xl/sharedStrings.xml><?xml version="1.0" encoding="utf-8"?>
<sst xmlns="http://schemas.openxmlformats.org/spreadsheetml/2006/main" count="61" uniqueCount="37">
  <si>
    <t>xs</t>
  </si>
  <si>
    <t>ys</t>
  </si>
  <si>
    <t>US-MPG</t>
  </si>
  <si>
    <t>JP-MPG</t>
  </si>
  <si>
    <t>mu0</t>
  </si>
  <si>
    <t>x-bar</t>
  </si>
  <si>
    <t>sx</t>
  </si>
  <si>
    <t>n</t>
  </si>
  <si>
    <t>WEIGHT</t>
  </si>
  <si>
    <t>Summary Data</t>
  </si>
  <si>
    <t>Results</t>
  </si>
  <si>
    <t>Descriptive Statistics</t>
  </si>
  <si>
    <t>Linear Regression</t>
  </si>
  <si>
    <t>Labels</t>
  </si>
  <si>
    <t>Mean</t>
  </si>
  <si>
    <t>Count</t>
  </si>
  <si>
    <t>Maximum</t>
  </si>
  <si>
    <t>Minimum</t>
  </si>
  <si>
    <t>Range</t>
  </si>
  <si>
    <t>Sum</t>
  </si>
  <si>
    <t>StdDev.P</t>
  </si>
  <si>
    <t>StdDev.S</t>
  </si>
  <si>
    <t>StdErr</t>
  </si>
  <si>
    <t>Variance.P</t>
  </si>
  <si>
    <t>Variance.S</t>
  </si>
  <si>
    <t>Q1</t>
  </si>
  <si>
    <t>Q3</t>
  </si>
  <si>
    <t>Q2</t>
  </si>
  <si>
    <t>Index</t>
  </si>
  <si>
    <t>Observations</t>
  </si>
  <si>
    <t>Process</t>
  </si>
  <si>
    <t>X</t>
  </si>
  <si>
    <t>Y</t>
  </si>
  <si>
    <t>pval</t>
  </si>
  <si>
    <t>MA(3)</t>
  </si>
  <si>
    <t>Skew</t>
  </si>
  <si>
    <t>Kurtosis.XS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</si>
</sst>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00"/>
    <numFmt numFmtId="167" formatCode="0.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1" fillId="3" borderId="0" xfId="0" applyFont="1" applyFill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2" borderId="0" xfId="0" quotePrefix="1" applyFill="1" applyAlignment="1">
      <alignment horizontal="righ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4" fontId="0" fillId="2" borderId="0" xfId="0" applyNumberFormat="1" applyFill="1"/>
    <xf numFmtId="0" fontId="0" fillId="4" borderId="0" xfId="0" applyFill="1"/>
    <xf numFmtId="165" fontId="0" fillId="2" borderId="0" xfId="0" applyNumberFormat="1" applyFill="1"/>
    <xf numFmtId="165" fontId="0" fillId="0" borderId="0" xfId="0" applyNumberFormat="1"/>
    <xf numFmtId="0" fontId="0" fillId="5" borderId="0" xfId="0" applyFill="1"/>
    <xf numFmtId="164" fontId="0" fillId="5" borderId="0" xfId="0" applyNumberFormat="1" applyFill="1"/>
    <xf numFmtId="166" fontId="0" fillId="2" borderId="0" xfId="0" applyNumberForma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7" fontId="0" fillId="2" borderId="0" xfId="0" applyNumberFormat="1" applyFill="1" applyAlignment="1">
      <alignment horizontal="right"/>
    </xf>
    <xf numFmtId="167" fontId="0" fillId="2" borderId="0" xfId="0" applyNumberFormat="1" applyFill="1"/>
    <xf numFmtId="165" fontId="0" fillId="6" borderId="0" xfId="0" applyNumberFormat="1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'Basic Functionality'!$C$2</c:f>
              <c:strCache>
                <c:ptCount val="1"/>
                <c:pt idx="0">
                  <c:v>ys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3646274984857662"/>
                  <c:y val="5.7851722124927028E-2"/>
                </c:manualLayout>
              </c:layout>
              <c:numFmt formatCode="General" sourceLinked="0"/>
            </c:trendlineLbl>
          </c:trendline>
          <c:xVal>
            <c:numRef>
              <c:f>'Basic Functionality'!$B$3:$B$12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'Basic Functionality'!$C$3:$C$12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9-4189-8593-AE026D533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71072"/>
        <c:axId val="161064000"/>
      </c:scatterChart>
      <c:valAx>
        <c:axId val="16107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4000"/>
        <c:crosses val="autoZero"/>
        <c:crossBetween val="midCat"/>
      </c:valAx>
      <c:valAx>
        <c:axId val="1610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10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 Series and Moving</a:t>
            </a:r>
            <a:r>
              <a:rPr lang="en-GB" baseline="0"/>
              <a:t> Average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 Series'!$C$2</c:f>
              <c:strCache>
                <c:ptCount val="1"/>
                <c:pt idx="0">
                  <c:v>Observations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'Time Series'!$B$3:$B$17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'Time Series'!$C$3:$C$17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18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5-4529-A79D-128BDFB5B74D}"/>
            </c:ext>
          </c:extLst>
        </c:ser>
        <c:ser>
          <c:idx val="1"/>
          <c:order val="1"/>
          <c:tx>
            <c:strRef>
              <c:f>'Time Series'!$E$2</c:f>
              <c:strCache>
                <c:ptCount val="1"/>
                <c:pt idx="0">
                  <c:v>MA(3)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'Time Series'!$B$3:$B$17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'Time Series'!$E$3:$E$17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 formatCode="0.000">
                  <c:v>3</c:v>
                </c:pt>
                <c:pt idx="3" formatCode="0.000">
                  <c:v>5</c:v>
                </c:pt>
                <c:pt idx="4" formatCode="0.000">
                  <c:v>6.666666666666667</c:v>
                </c:pt>
                <c:pt idx="5" formatCode="0.000">
                  <c:v>11</c:v>
                </c:pt>
                <c:pt idx="6" formatCode="0.000">
                  <c:v>10</c:v>
                </c:pt>
                <c:pt idx="7" formatCode="0.000">
                  <c:v>7.666666666666667</c:v>
                </c:pt>
                <c:pt idx="8" formatCode="0.000">
                  <c:v>3</c:v>
                </c:pt>
                <c:pt idx="9" formatCode="0.000">
                  <c:v>2.6666666666666665</c:v>
                </c:pt>
                <c:pt idx="10" formatCode="0.000">
                  <c:v>4</c:v>
                </c:pt>
                <c:pt idx="11" formatCode="0.000">
                  <c:v>5</c:v>
                </c:pt>
                <c:pt idx="12" formatCode="0.000">
                  <c:v>5.666666666666667</c:v>
                </c:pt>
                <c:pt idx="13" formatCode="0.000">
                  <c:v>6</c:v>
                </c:pt>
                <c:pt idx="14" formatCode="0.00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05-4529-A79D-128BDFB5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932623"/>
        <c:axId val="483933871"/>
      </c:scatterChart>
      <c:valAx>
        <c:axId val="48393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33871"/>
        <c:crosses val="autoZero"/>
        <c:crossBetween val="midCat"/>
      </c:valAx>
      <c:valAx>
        <c:axId val="4839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3262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Cars MPG: US vs Japan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Cars MPG: US vs Japan</a:t>
          </a:r>
        </a:p>
      </cx:txPr>
    </cx:title>
    <cx:plotArea>
      <cx:plotAreaRegion>
        <cx:series layoutId="boxWhisker" uniqueId="{E9C4E5B9-19DB-4865-BD82-62520AA6FE72}">
          <cx:tx>
            <cx:txData>
              <cx:f>_xlchart.v1.0</cx:f>
              <cx:v>US-MPG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4B36BC6-7740-4B48-968F-7ECA422E5E73}">
          <cx:tx>
            <cx:txData>
              <cx:f>_xlchart.v1.2</cx:f>
              <cx:v>JP-MPG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Weight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Weight Distribution</a:t>
          </a:r>
        </a:p>
      </cx:txPr>
    </cx:title>
    <cx:plotArea>
      <cx:plotAreaRegion>
        <cx:series layoutId="boxWhisker" uniqueId="{8F6E1819-751A-4297-9A98-672F6DF767B8}">
          <cx:tx>
            <cx:txData>
              <cx:f>_xlchart.v1.6</cx:f>
              <cx:v>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976-438C-AF62-500723781A2E}">
          <cx:tx>
            <cx:txData>
              <cx:f>_xlchart.v1.4</cx:f>
              <cx:v>mu0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12</xdr:row>
      <xdr:rowOff>57150</xdr:rowOff>
    </xdr:from>
    <xdr:to>
      <xdr:col>23</xdr:col>
      <xdr:colOff>220980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8228E-2D86-4CAE-816B-52053B058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83820</xdr:rowOff>
    </xdr:from>
    <xdr:to>
      <xdr:col>16</xdr:col>
      <xdr:colOff>495300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67244-789E-46D2-A28F-F973E82A8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38100</xdr:colOff>
      <xdr:row>12</xdr:row>
      <xdr:rowOff>38100</xdr:rowOff>
    </xdr:from>
    <xdr:to>
      <xdr:col>30</xdr:col>
      <xdr:colOff>266700</xdr:colOff>
      <xdr:row>27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BA2964-4E5E-498A-A7F7-C887FF7B7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860" y="2232660"/>
              <a:ext cx="4572000" cy="283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68580</xdr:colOff>
      <xdr:row>13</xdr:row>
      <xdr:rowOff>38100</xdr:rowOff>
    </xdr:from>
    <xdr:to>
      <xdr:col>16</xdr:col>
      <xdr:colOff>335280</xdr:colOff>
      <xdr:row>28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2D5FED-3331-4694-A36E-2E48E18F53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0620" y="2415540"/>
              <a:ext cx="3276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798C-3589-46B5-ACE0-F4673F1DD012}">
  <dimension ref="B2:U41"/>
  <sheetViews>
    <sheetView tabSelected="1" workbookViewId="0"/>
  </sheetViews>
  <sheetFormatPr defaultRowHeight="14.4" x14ac:dyDescent="0.3"/>
  <cols>
    <col min="1" max="1" width="4.21875" customWidth="1"/>
    <col min="3" max="3" width="10.44140625" customWidth="1"/>
    <col min="4" max="4" width="4.6640625" customWidth="1"/>
    <col min="5" max="5" width="10.5546875" customWidth="1"/>
    <col min="6" max="6" width="11.5546875" bestFit="1" customWidth="1"/>
    <col min="7" max="7" width="3.88671875" customWidth="1"/>
    <col min="8" max="8" width="11.5546875" bestFit="1" customWidth="1"/>
    <col min="11" max="11" width="11.44140625" customWidth="1"/>
    <col min="12" max="12" width="10.5546875" customWidth="1"/>
    <col min="13" max="13" width="3.6640625" customWidth="1"/>
    <col min="19" max="19" width="3.33203125" customWidth="1"/>
    <col min="22" max="22" width="8.88671875" customWidth="1"/>
  </cols>
  <sheetData>
    <row r="2" spans="2:21" x14ac:dyDescent="0.3">
      <c r="B2" s="3" t="s">
        <v>0</v>
      </c>
      <c r="C2" s="3" t="s">
        <v>1</v>
      </c>
      <c r="E2" s="3" t="s">
        <v>11</v>
      </c>
      <c r="F2" s="3"/>
      <c r="H2" s="3" t="s">
        <v>10</v>
      </c>
      <c r="I2" s="3"/>
      <c r="K2" s="3" t="s">
        <v>11</v>
      </c>
      <c r="L2" s="3"/>
      <c r="N2" s="3" t="s">
        <v>10</v>
      </c>
      <c r="O2" s="3"/>
      <c r="Q2" s="3" t="s">
        <v>12</v>
      </c>
      <c r="R2" s="3"/>
      <c r="T2" s="3" t="s">
        <v>10</v>
      </c>
      <c r="U2" s="3"/>
    </row>
    <row r="3" spans="2:21" x14ac:dyDescent="0.3">
      <c r="B3" s="1">
        <v>0</v>
      </c>
      <c r="C3" s="1">
        <v>1</v>
      </c>
      <c r="E3" s="1" t="str">
        <f t="array" ref="E3:F20">_xll.StatisticalFunctions.DescriptiveStatistics(xs)</f>
        <v>Mean</v>
      </c>
      <c r="F3" s="1">
        <v>4.5</v>
      </c>
      <c r="H3" s="1">
        <v>4.5</v>
      </c>
      <c r="I3" t="str">
        <f>IF(ROUND(H3,6)-ROUND(F3,6)=0, "PASSED", "FAILED")</f>
        <v>PASSED</v>
      </c>
      <c r="K3" s="1" t="str">
        <f t="array" ref="K3:L20">_xll.StatisticalFunctions.DescriptiveStatistics(ys)</f>
        <v>Mean</v>
      </c>
      <c r="L3" s="1">
        <v>6.5</v>
      </c>
      <c r="N3" s="1">
        <v>6.5</v>
      </c>
      <c r="O3" t="str">
        <f>IF(ROUND(N3,6)-ROUND(L3,6)=0, "PASSED", "FAILED")</f>
        <v>PASSED</v>
      </c>
      <c r="Q3" s="1" t="str">
        <f t="array" ref="Q3:R11">_xll.StatisticalFunctions.LinearRegression(xs, ys)</f>
        <v>x-mean</v>
      </c>
      <c r="R3" s="1">
        <v>4.5</v>
      </c>
      <c r="T3" s="1">
        <v>4.5</v>
      </c>
      <c r="U3" t="str">
        <f>IF(ROUND(T3,6)-ROUND(R3,6)=0, "PASSED", "FAILED")</f>
        <v>PASSED</v>
      </c>
    </row>
    <row r="4" spans="2:21" x14ac:dyDescent="0.3">
      <c r="B4" s="1">
        <v>1</v>
      </c>
      <c r="C4" s="1">
        <v>3</v>
      </c>
      <c r="E4" s="1" t="str">
        <v>Count</v>
      </c>
      <c r="F4" s="1">
        <v>10</v>
      </c>
      <c r="H4" s="1">
        <v>10</v>
      </c>
      <c r="I4" t="str">
        <f>IF(ROUND(H4,6)-ROUND(F4,6)=0, "PASSED", "FAILED")</f>
        <v>PASSED</v>
      </c>
      <c r="K4" s="1" t="str">
        <v>Count</v>
      </c>
      <c r="L4" s="1">
        <v>10</v>
      </c>
      <c r="N4" s="1">
        <v>10</v>
      </c>
      <c r="O4" t="str">
        <f>IF(ROUND(N4,6)-ROUND(L4,6)=0, "PASSED", "FAILED")</f>
        <v>PASSED</v>
      </c>
      <c r="Q4" s="1" t="str">
        <v>y-mean</v>
      </c>
      <c r="R4" s="1">
        <v>6.5</v>
      </c>
      <c r="T4" s="1">
        <v>6.5</v>
      </c>
      <c r="U4" t="str">
        <f>IF(ROUND(T4,6)-ROUND(R4,6)=0, "PASSED", "FAILED")</f>
        <v>PASSED</v>
      </c>
    </row>
    <row r="5" spans="2:21" x14ac:dyDescent="0.3">
      <c r="B5" s="1">
        <v>2</v>
      </c>
      <c r="C5" s="1">
        <v>2</v>
      </c>
      <c r="E5" s="1" t="str">
        <v>Kurtosis</v>
      </c>
      <c r="F5" s="1">
        <v>1.7757575757575756</v>
      </c>
      <c r="H5" s="1">
        <v>1.7757575757575756</v>
      </c>
      <c r="I5" t="str">
        <f>IF(ROUND(H5,6)-ROUND(F5,6)=0, "PASSED", "FAILED")</f>
        <v>PASSED</v>
      </c>
      <c r="K5" s="1" t="str">
        <v>Kurtosis</v>
      </c>
      <c r="L5" s="1">
        <v>1.8477273941141912</v>
      </c>
      <c r="N5" s="1">
        <v>1.8477273941141912</v>
      </c>
      <c r="O5" t="str">
        <f>IF(ROUND(N5,6)-ROUND(L5,6)=0, "PASSED", "FAILED")</f>
        <v>PASSED</v>
      </c>
      <c r="Q5" s="13" t="str">
        <v>b1</v>
      </c>
      <c r="R5" s="14">
        <v>1.1696969696969697</v>
      </c>
      <c r="T5" s="9">
        <v>1.1696969696969697</v>
      </c>
      <c r="U5" t="str">
        <f>IF(ROUND(T5,6)-ROUND(R5,6)=0, "PASSED", "FAILED")</f>
        <v>PASSED</v>
      </c>
    </row>
    <row r="6" spans="2:21" x14ac:dyDescent="0.3">
      <c r="B6" s="1">
        <v>3</v>
      </c>
      <c r="C6" s="1">
        <v>5</v>
      </c>
      <c r="E6" s="1" t="str">
        <v>Kurtosis.XS</v>
      </c>
      <c r="F6" s="1">
        <v>-1.2242424242424244</v>
      </c>
      <c r="H6" s="1">
        <v>-1.2242424242424244</v>
      </c>
      <c r="I6" t="str">
        <f>IF(ROUND(H6,6)-ROUND(F6,6)=0, "PASSED", "FAILED")</f>
        <v>PASSED</v>
      </c>
      <c r="K6" s="1" t="str">
        <v>Kurtosis.XS</v>
      </c>
      <c r="L6" s="1">
        <v>-1.1522726058858088</v>
      </c>
      <c r="N6" s="1">
        <v>-1.1522726058858088</v>
      </c>
      <c r="O6" t="str">
        <f>IF(ROUND(N6,6)-ROUND(L6,6)=0, "PASSED", "FAILED")</f>
        <v>PASSED</v>
      </c>
      <c r="Q6" s="1" t="str">
        <v>SS_xx</v>
      </c>
      <c r="R6" s="1">
        <v>82.5</v>
      </c>
      <c r="T6" s="1">
        <v>82.5</v>
      </c>
      <c r="U6" t="str">
        <f>IF(ROUND(T6,6)-ROUND(R6,6)=0, "PASSED", "FAILED")</f>
        <v>PASSED</v>
      </c>
    </row>
    <row r="7" spans="2:21" x14ac:dyDescent="0.3">
      <c r="B7" s="1">
        <v>4</v>
      </c>
      <c r="C7" s="1">
        <v>7</v>
      </c>
      <c r="E7" s="1" t="str">
        <v>Maximum</v>
      </c>
      <c r="F7" s="1">
        <v>9</v>
      </c>
      <c r="H7" s="1">
        <v>9</v>
      </c>
      <c r="I7" t="str">
        <f>IF(ROUND(H7,6)-ROUND(F7,6)=0, "PASSED", "FAILED")</f>
        <v>PASSED</v>
      </c>
      <c r="K7" s="1" t="str">
        <v>Maximum</v>
      </c>
      <c r="L7" s="1">
        <v>12</v>
      </c>
      <c r="N7" s="1">
        <v>12</v>
      </c>
      <c r="O7" t="str">
        <f>IF(ROUND(N7,6)-ROUND(L7,6)=0, "PASSED", "FAILED")</f>
        <v>PASSED</v>
      </c>
      <c r="Q7" s="13" t="str">
        <v>b0</v>
      </c>
      <c r="R7" s="14">
        <v>1.2363636363636363</v>
      </c>
      <c r="T7" s="9">
        <v>1.2363636363636363</v>
      </c>
      <c r="U7" t="str">
        <f>IF(ROUND(T7,6)-ROUND(R7,6)=0, "PASSED", "FAILED")</f>
        <v>PASSED</v>
      </c>
    </row>
    <row r="8" spans="2:21" x14ac:dyDescent="0.3">
      <c r="B8" s="1">
        <v>5</v>
      </c>
      <c r="C8" s="1">
        <v>8</v>
      </c>
      <c r="E8" s="1" t="str">
        <v>Minimum</v>
      </c>
      <c r="F8" s="1">
        <v>0</v>
      </c>
      <c r="H8" s="1">
        <v>0</v>
      </c>
      <c r="I8" t="str">
        <f>IF(ROUND(H8,6)-ROUND(F8,6)=0, "PASSED", "FAILED")</f>
        <v>PASSED</v>
      </c>
      <c r="K8" s="1" t="str">
        <v>Minimum</v>
      </c>
      <c r="L8" s="1">
        <v>1</v>
      </c>
      <c r="N8" s="1">
        <v>1</v>
      </c>
      <c r="O8" t="str">
        <f>IF(ROUND(N8,6)-ROUND(L8,6)=0, "PASSED", "FAILED")</f>
        <v>PASSED</v>
      </c>
      <c r="Q8" s="1" t="str">
        <v>SS_xy</v>
      </c>
      <c r="R8" s="1">
        <v>96.5</v>
      </c>
      <c r="T8" s="1">
        <v>96.5</v>
      </c>
      <c r="U8" t="str">
        <f>IF(ROUND(T8,6)-ROUND(R8,6)=0, "PASSED", "FAILED")</f>
        <v>PASSED</v>
      </c>
    </row>
    <row r="9" spans="2:21" x14ac:dyDescent="0.3">
      <c r="B9" s="1">
        <v>6</v>
      </c>
      <c r="C9" s="1">
        <v>8</v>
      </c>
      <c r="E9" s="13" t="str">
        <v>Q1</v>
      </c>
      <c r="F9" s="13">
        <v>2.25</v>
      </c>
      <c r="H9" s="1">
        <v>2.25</v>
      </c>
      <c r="I9" t="str">
        <f>IF(ROUND(H9,6)-ROUND(F9,6)=0, "PASSED", "FAILED")</f>
        <v>PASSED</v>
      </c>
      <c r="K9" s="1" t="str">
        <v>Q1</v>
      </c>
      <c r="L9" s="1">
        <v>3.5</v>
      </c>
      <c r="N9" s="1">
        <v>3.5</v>
      </c>
      <c r="O9" t="str">
        <f>IF(ROUND(N9,6)-ROUND(L9,6)=0, "PASSED", "FAILED")</f>
        <v>PASSED</v>
      </c>
      <c r="Q9" s="1" t="str">
        <v>SS_yy</v>
      </c>
      <c r="R9" s="1">
        <v>118.5</v>
      </c>
      <c r="T9" s="1">
        <v>118.5</v>
      </c>
      <c r="U9" t="str">
        <f>IF(ROUND(T9,6)-ROUND(R9,6)=0, "PASSED", "FAILED")</f>
        <v>PASSED</v>
      </c>
    </row>
    <row r="10" spans="2:21" x14ac:dyDescent="0.3">
      <c r="B10" s="1">
        <v>7</v>
      </c>
      <c r="C10" s="1">
        <v>9</v>
      </c>
      <c r="E10" s="1" t="str">
        <v>Median</v>
      </c>
      <c r="F10" s="1">
        <v>4.5</v>
      </c>
      <c r="H10" s="1">
        <v>4.5</v>
      </c>
      <c r="I10" t="str">
        <f>IF(ROUND(H10,6)-ROUND(F10,6)=0, "PASSED", "FAILED")</f>
        <v>PASSED</v>
      </c>
      <c r="K10" s="1" t="str">
        <v>Median</v>
      </c>
      <c r="L10" s="1">
        <v>7.5</v>
      </c>
      <c r="N10" s="1">
        <v>7.5</v>
      </c>
      <c r="O10" t="str">
        <f>IF(ROUND(N10,6)-ROUND(L10,6)=0, "PASSED", "FAILED")</f>
        <v>PASSED</v>
      </c>
      <c r="Q10" s="1" t="str">
        <v>r</v>
      </c>
      <c r="R10" s="9">
        <v>0.97598055237488623</v>
      </c>
      <c r="T10" s="9">
        <v>0.97598055237488623</v>
      </c>
      <c r="U10" t="str">
        <f>IF(ROUND(T10,6)-ROUND(R10,6)=0, "PASSED", "FAILED")</f>
        <v>PASSED</v>
      </c>
    </row>
    <row r="11" spans="2:21" x14ac:dyDescent="0.3">
      <c r="B11" s="1">
        <v>8</v>
      </c>
      <c r="C11" s="1">
        <v>10</v>
      </c>
      <c r="E11" s="1" t="str">
        <v>Q2</v>
      </c>
      <c r="F11" s="1">
        <v>4.5</v>
      </c>
      <c r="H11" s="1">
        <v>4.5</v>
      </c>
      <c r="I11" t="str">
        <f>IF(ROUND(H11,6)-ROUND(F11,6)=0, "PASSED", "FAILED")</f>
        <v>PASSED</v>
      </c>
      <c r="K11" s="1" t="str">
        <v>Q2</v>
      </c>
      <c r="L11" s="1">
        <v>7.5</v>
      </c>
      <c r="N11" s="1">
        <v>7.5</v>
      </c>
      <c r="O11" t="str">
        <f>IF(ROUND(N11,6)-ROUND(L11,6)=0, "PASSED", "FAILED")</f>
        <v>PASSED</v>
      </c>
      <c r="Q11" s="13" t="str">
        <v>r2</v>
      </c>
      <c r="R11" s="14">
        <v>0.952538038613988</v>
      </c>
      <c r="T11" s="9">
        <v>0.952538038613988</v>
      </c>
      <c r="U11" t="str">
        <f>IF(ROUND(T11,6)-ROUND(R11,6)=0, "PASSED", "FAILED")</f>
        <v>PASSED</v>
      </c>
    </row>
    <row r="12" spans="2:21" x14ac:dyDescent="0.3">
      <c r="B12" s="1">
        <v>9</v>
      </c>
      <c r="C12" s="1">
        <v>12</v>
      </c>
      <c r="E12" s="13" t="str">
        <v>Q3</v>
      </c>
      <c r="F12" s="13">
        <v>6.75</v>
      </c>
      <c r="H12" s="1">
        <v>6.75</v>
      </c>
      <c r="I12" t="str">
        <f>IF(ROUND(H12,6)-ROUND(F12,6)=0, "PASSED", "FAILED")</f>
        <v>PASSED</v>
      </c>
      <c r="K12" s="1" t="str">
        <v>Q3</v>
      </c>
      <c r="L12" s="1">
        <v>8.75</v>
      </c>
      <c r="N12" s="1">
        <v>8.75</v>
      </c>
      <c r="O12" t="str">
        <f>IF(ROUND(N12,6)-ROUND(L12,6)=0, "PASSED", "FAILED")</f>
        <v>PASSED</v>
      </c>
    </row>
    <row r="13" spans="2:21" x14ac:dyDescent="0.3">
      <c r="E13" s="1" t="str">
        <v>Range</v>
      </c>
      <c r="F13" s="1">
        <v>9</v>
      </c>
      <c r="H13" s="1">
        <v>9</v>
      </c>
      <c r="I13" t="str">
        <f>IF(ROUND(H13,6)-ROUND(F13,6)=0, "PASSED", "FAILED")</f>
        <v>PASSED</v>
      </c>
      <c r="K13" s="1" t="str">
        <v>Range</v>
      </c>
      <c r="L13" s="1">
        <v>11</v>
      </c>
      <c r="N13" s="1">
        <v>11</v>
      </c>
      <c r="O13" t="str">
        <f>IF(ROUND(N13,6)-ROUND(L13,6)=0, "PASSED", "FAILED")</f>
        <v>PASSED</v>
      </c>
    </row>
    <row r="14" spans="2:21" x14ac:dyDescent="0.3">
      <c r="E14" s="1" t="str">
        <v>Skew</v>
      </c>
      <c r="F14" s="1">
        <v>0</v>
      </c>
      <c r="H14" s="1">
        <v>0</v>
      </c>
      <c r="I14" t="str">
        <f>IF(ROUND(H14,6)-ROUND(F14,6)=0, "PASSED", "FAILED")</f>
        <v>PASSED</v>
      </c>
      <c r="K14" s="1" t="str">
        <v>Skew</v>
      </c>
      <c r="L14" s="1">
        <v>-0.17650417026049434</v>
      </c>
      <c r="N14" s="1">
        <v>-0.17650417026049434</v>
      </c>
      <c r="O14" t="str">
        <f>IF(ROUND(N14,6)-ROUND(L14,6)=0, "PASSED", "FAILED")</f>
        <v>PASSED</v>
      </c>
    </row>
    <row r="15" spans="2:21" x14ac:dyDescent="0.3">
      <c r="E15" s="1" t="str">
        <v>StdDev.P</v>
      </c>
      <c r="F15" s="1">
        <v>2.8722813232690143</v>
      </c>
      <c r="H15" s="1">
        <v>2.8722813232690143</v>
      </c>
      <c r="I15" t="str">
        <f>IF(ROUND(H15,6)-ROUND(F15,6)=0, "PASSED", "FAILED")</f>
        <v>PASSED</v>
      </c>
      <c r="K15" s="1" t="str">
        <v>StdDev.P</v>
      </c>
      <c r="L15" s="1">
        <v>3.4423828956117011</v>
      </c>
      <c r="N15" s="1">
        <v>3.4423828956117011</v>
      </c>
      <c r="O15" t="str">
        <f>IF(ROUND(N15,6)-ROUND(L15,6)=0, "PASSED", "FAILED")</f>
        <v>PASSED</v>
      </c>
    </row>
    <row r="16" spans="2:21" x14ac:dyDescent="0.3">
      <c r="E16" s="1" t="str">
        <v>StdDev.S</v>
      </c>
      <c r="F16" s="1">
        <v>3.0276503540974917</v>
      </c>
      <c r="H16" s="1">
        <v>3.0276503540974917</v>
      </c>
      <c r="I16" t="str">
        <f>IF(ROUND(H16,6)-ROUND(F16,6)=0, "PASSED", "FAILED")</f>
        <v>PASSED</v>
      </c>
      <c r="K16" s="1" t="str">
        <v>StdDev.S</v>
      </c>
      <c r="L16" s="1">
        <v>3.6285901761795403</v>
      </c>
      <c r="N16" s="1">
        <v>3.6285901761795403</v>
      </c>
      <c r="O16" t="str">
        <f>IF(ROUND(N16,6)-ROUND(L16,6)=0, "PASSED", "FAILED")</f>
        <v>PASSED</v>
      </c>
    </row>
    <row r="17" spans="3:15" x14ac:dyDescent="0.3">
      <c r="E17" s="1" t="str">
        <v>StdErr</v>
      </c>
      <c r="F17" s="1">
        <v>0.9574271077563381</v>
      </c>
      <c r="H17" s="1">
        <v>0.9574271077563381</v>
      </c>
      <c r="I17" t="str">
        <f>IF(ROUND(H17,6)-ROUND(F17,6)=0, "PASSED", "FAILED")</f>
        <v>PASSED</v>
      </c>
      <c r="K17" s="1" t="str">
        <v>StdErr</v>
      </c>
      <c r="L17" s="1">
        <v>1.1474609652039003</v>
      </c>
      <c r="N17" s="1">
        <v>1.1474609652039003</v>
      </c>
      <c r="O17" t="str">
        <f>IF(ROUND(N17,6)-ROUND(L17,6)=0, "PASSED", "FAILED")</f>
        <v>PASSED</v>
      </c>
    </row>
    <row r="18" spans="3:15" x14ac:dyDescent="0.3">
      <c r="E18" s="1" t="str">
        <v>Sum</v>
      </c>
      <c r="F18" s="1">
        <v>45</v>
      </c>
      <c r="H18" s="1">
        <v>45</v>
      </c>
      <c r="I18" t="str">
        <f>IF(ROUND(H18,6)-ROUND(F18,6)=0, "PASSED", "FAILED")</f>
        <v>PASSED</v>
      </c>
      <c r="K18" s="1" t="str">
        <v>Sum</v>
      </c>
      <c r="L18" s="1">
        <v>65</v>
      </c>
      <c r="N18" s="1">
        <v>65</v>
      </c>
      <c r="O18" t="str">
        <f>IF(ROUND(N18,6)-ROUND(L18,6)=0, "PASSED", "FAILED")</f>
        <v>PASSED</v>
      </c>
    </row>
    <row r="19" spans="3:15" x14ac:dyDescent="0.3">
      <c r="E19" s="1" t="str">
        <v>Variance.P</v>
      </c>
      <c r="F19" s="1">
        <v>8.25</v>
      </c>
      <c r="H19" s="1">
        <v>8.25</v>
      </c>
      <c r="I19" t="str">
        <f>IF(ROUND(H19,6)-ROUND(F19,6)=0, "PASSED", "FAILED")</f>
        <v>PASSED</v>
      </c>
      <c r="K19" s="1" t="str">
        <v>Variance.P</v>
      </c>
      <c r="L19" s="1">
        <v>11.85</v>
      </c>
      <c r="N19" s="1">
        <v>11.85</v>
      </c>
      <c r="O19" t="str">
        <f>IF(ROUND(N19,6)-ROUND(L19,6)=0, "PASSED", "FAILED")</f>
        <v>PASSED</v>
      </c>
    </row>
    <row r="20" spans="3:15" x14ac:dyDescent="0.3">
      <c r="E20" s="1" t="str">
        <v>Variance.S</v>
      </c>
      <c r="F20" s="1">
        <v>9.1666666666666661</v>
      </c>
      <c r="H20" s="1">
        <v>9.1666666666666661</v>
      </c>
      <c r="I20" t="str">
        <f>IF(ROUND(H20,6)-ROUND(F20,6)=0, "PASSED", "FAILED")</f>
        <v>PASSED</v>
      </c>
      <c r="K20" s="1" t="str">
        <v>Variance.S</v>
      </c>
      <c r="L20" s="1">
        <v>13.166666666666666</v>
      </c>
      <c r="N20" s="1">
        <v>13.166666666666666</v>
      </c>
      <c r="O20" t="str">
        <f>IF(ROUND(N20,6)-ROUND(L20,6)=0, "PASSED", "FAILED")</f>
        <v>PASSED</v>
      </c>
    </row>
    <row r="23" spans="3:15" x14ac:dyDescent="0.3">
      <c r="L23" s="12"/>
    </row>
    <row r="25" spans="3:15" x14ac:dyDescent="0.3">
      <c r="C25" s="3" t="s">
        <v>13</v>
      </c>
      <c r="E25" s="3" t="s">
        <v>11</v>
      </c>
      <c r="F25" s="3"/>
      <c r="H25" s="3" t="s">
        <v>10</v>
      </c>
      <c r="I25" s="3"/>
    </row>
    <row r="26" spans="3:15" x14ac:dyDescent="0.3">
      <c r="C26" s="10" t="s">
        <v>14</v>
      </c>
      <c r="E26" s="1" t="str">
        <f t="array" ref="E26:F26">_xll.StatisticalFunctions.DescriptiveStatistics(xs,C26)</f>
        <v>Mean</v>
      </c>
      <c r="F26" s="1">
        <v>4.5</v>
      </c>
      <c r="H26" s="1">
        <f>AVERAGE(xs)</f>
        <v>4.5</v>
      </c>
      <c r="I26" t="str">
        <f>IF(ROUND(H26,6)-ROUND(F26,6)=0, "PASSED", "FAILED")</f>
        <v>PASSED</v>
      </c>
    </row>
    <row r="27" spans="3:15" x14ac:dyDescent="0.3">
      <c r="C27" s="10" t="s">
        <v>15</v>
      </c>
      <c r="E27" s="1" t="str">
        <f t="array" ref="E27:F27">_xll.StatisticalFunctions.DescriptiveStatistics(xs,C27)</f>
        <v>Count</v>
      </c>
      <c r="F27" s="1">
        <v>10</v>
      </c>
      <c r="H27" s="1">
        <f>COUNT(xs)</f>
        <v>10</v>
      </c>
      <c r="I27" t="str">
        <f>IF(ROUND(H27,6)-ROUND(F27,6)=0, "PASSED", "FAILED")</f>
        <v>PASSED</v>
      </c>
    </row>
    <row r="28" spans="3:15" x14ac:dyDescent="0.3">
      <c r="C28" s="10" t="s">
        <v>36</v>
      </c>
      <c r="E28" s="1" t="str">
        <f t="array" ref="E28:F28">_xll.StatisticalFunctions.DescriptiveStatistics(xs,C28)</f>
        <v>Kurtosis.XS</v>
      </c>
      <c r="F28" s="21">
        <v>-1.2242424242424244</v>
      </c>
      <c r="H28" s="21">
        <f>KURT(xs)</f>
        <v>-1.2000000000000002</v>
      </c>
      <c r="I28" t="str">
        <f>IF(ROUND(H28,1)-ROUND(F28,1)=0, "PASSED", "FAILED")</f>
        <v>PASSED</v>
      </c>
    </row>
    <row r="29" spans="3:15" x14ac:dyDescent="0.3">
      <c r="C29" s="10" t="s">
        <v>35</v>
      </c>
      <c r="E29" s="1" t="str">
        <f t="array" ref="E29:F29">_xll.StatisticalFunctions.DescriptiveStatistics(xs,C29)</f>
        <v>Skew</v>
      </c>
      <c r="F29" s="1">
        <v>0</v>
      </c>
      <c r="H29" s="11">
        <f>_xlfn.SKEW.P(xs)</f>
        <v>4.4408920985006264E-17</v>
      </c>
      <c r="I29" t="str">
        <f>IF(ROUND(H29,6)-ROUND(F29,6)=0, "PASSED", "FAILED")</f>
        <v>PASSED</v>
      </c>
    </row>
    <row r="30" spans="3:15" x14ac:dyDescent="0.3">
      <c r="C30" s="10" t="s">
        <v>16</v>
      </c>
      <c r="E30" s="1" t="str">
        <f t="array" ref="E30:F30">_xll.StatisticalFunctions.DescriptiveStatistics(xs,C30)</f>
        <v>Maximum</v>
      </c>
      <c r="F30" s="1">
        <v>9</v>
      </c>
      <c r="H30" s="1">
        <f>MAX(xs)</f>
        <v>9</v>
      </c>
      <c r="I30" t="str">
        <f>IF(ROUND(H30,6)-ROUND(F30,6)=0, "PASSED", "FAILED")</f>
        <v>PASSED</v>
      </c>
    </row>
    <row r="31" spans="3:15" x14ac:dyDescent="0.3">
      <c r="C31" s="10" t="s">
        <v>17</v>
      </c>
      <c r="E31" s="1" t="str">
        <f t="array" ref="E31:F31">_xll.StatisticalFunctions.DescriptiveStatistics(xs,C31)</f>
        <v>Minimum</v>
      </c>
      <c r="F31" s="1">
        <v>0</v>
      </c>
      <c r="H31" s="1">
        <f>MIN(xs)</f>
        <v>0</v>
      </c>
      <c r="I31" t="str">
        <f>IF(ROUND(H31,6)-ROUND(F31,6)=0, "PASSED", "FAILED")</f>
        <v>PASSED</v>
      </c>
    </row>
    <row r="32" spans="3:15" x14ac:dyDescent="0.3">
      <c r="C32" s="10" t="s">
        <v>27</v>
      </c>
      <c r="E32" s="1" t="str">
        <f t="array" ref="E32:F32">_xll.StatisticalFunctions.DescriptiveStatistics(xs,C32)</f>
        <v>Q2</v>
      </c>
      <c r="F32" s="1">
        <v>4.5</v>
      </c>
      <c r="H32" s="1">
        <f>MEDIAN(xs)</f>
        <v>4.5</v>
      </c>
      <c r="I32" t="str">
        <f>IF(ROUND(H32,6)-ROUND(F32,6)=0, "PASSED", "FAILED")</f>
        <v>PASSED</v>
      </c>
    </row>
    <row r="33" spans="3:9" x14ac:dyDescent="0.3">
      <c r="C33" s="10" t="s">
        <v>18</v>
      </c>
      <c r="E33" s="1" t="str">
        <f t="array" ref="E33:F33">_xll.StatisticalFunctions.DescriptiveStatistics(xs,C33)</f>
        <v>Range</v>
      </c>
      <c r="F33" s="1">
        <v>9</v>
      </c>
      <c r="H33" s="1">
        <f>MAX(xs)-MIN(xs)</f>
        <v>9</v>
      </c>
      <c r="I33" t="str">
        <f>IF(ROUND(H33,6)-ROUND(F33,6)=0, "PASSED", "FAILED")</f>
        <v>PASSED</v>
      </c>
    </row>
    <row r="34" spans="3:9" x14ac:dyDescent="0.3">
      <c r="C34" s="10" t="s">
        <v>19</v>
      </c>
      <c r="E34" s="1" t="str">
        <f t="array" ref="E34:F34">_xll.StatisticalFunctions.DescriptiveStatistics(xs,C34)</f>
        <v>Sum</v>
      </c>
      <c r="F34" s="1">
        <v>45</v>
      </c>
      <c r="H34" s="1">
        <f>SUM(xs)</f>
        <v>45</v>
      </c>
      <c r="I34" t="str">
        <f>IF(ROUND(H34,6)-ROUND(F34,6)=0, "PASSED", "FAILED")</f>
        <v>PASSED</v>
      </c>
    </row>
    <row r="35" spans="3:9" x14ac:dyDescent="0.3">
      <c r="C35" s="10" t="s">
        <v>20</v>
      </c>
      <c r="E35" s="1" t="str">
        <f t="array" ref="E35:F35">_xll.StatisticalFunctions.DescriptiveStatistics(xs,C35)</f>
        <v>StdDev.P</v>
      </c>
      <c r="F35" s="1">
        <v>2.8722813232690143</v>
      </c>
      <c r="H35" s="1">
        <f>_xlfn.STDEV.P(xs)</f>
        <v>2.8722813232690143</v>
      </c>
      <c r="I35" t="str">
        <f>IF(ROUND(H35,6)-ROUND(F35,6)=0, "PASSED", "FAILED")</f>
        <v>PASSED</v>
      </c>
    </row>
    <row r="36" spans="3:9" x14ac:dyDescent="0.3">
      <c r="C36" s="10" t="s">
        <v>21</v>
      </c>
      <c r="E36" s="1" t="str">
        <f t="array" ref="E36:F36">_xll.StatisticalFunctions.DescriptiveStatistics(xs,C36)</f>
        <v>StdDev.S</v>
      </c>
      <c r="F36" s="1">
        <v>3.0276503540974917</v>
      </c>
      <c r="H36" s="1">
        <f>_xlfn.STDEV.S(xs)</f>
        <v>3.0276503540974917</v>
      </c>
      <c r="I36" t="str">
        <f>IF(ROUND(H36,6)-ROUND(F36,6)=0, "PASSED", "FAILED")</f>
        <v>PASSED</v>
      </c>
    </row>
    <row r="37" spans="3:9" x14ac:dyDescent="0.3">
      <c r="C37" s="10" t="s">
        <v>22</v>
      </c>
      <c r="E37" s="1" t="str">
        <f t="array" ref="E37:F37">_xll.StatisticalFunctions.DescriptiveStatistics(xs,C37)</f>
        <v>StdErr</v>
      </c>
      <c r="F37" s="1">
        <v>0.9574271077563381</v>
      </c>
      <c r="H37" s="1">
        <f>_xlfn.STDEV.S(xs)/SQRT(COUNT(xs))</f>
        <v>0.9574271077563381</v>
      </c>
      <c r="I37" t="str">
        <f>IF(ROUND(H37,6)-ROUND(F37,6)=0, "PASSED", "FAILED")</f>
        <v>PASSED</v>
      </c>
    </row>
    <row r="38" spans="3:9" x14ac:dyDescent="0.3">
      <c r="C38" s="10" t="s">
        <v>23</v>
      </c>
      <c r="E38" s="1" t="str">
        <f t="array" ref="E38:F38">_xll.StatisticalFunctions.DescriptiveStatistics(xs,C38)</f>
        <v>Variance.P</v>
      </c>
      <c r="F38" s="1">
        <v>8.25</v>
      </c>
      <c r="H38" s="1">
        <f>_xlfn.VAR.P(xs)</f>
        <v>8.25</v>
      </c>
      <c r="I38" t="str">
        <f>IF(ROUND(H38,6)-ROUND(F38,6)=0, "PASSED", "FAILED")</f>
        <v>PASSED</v>
      </c>
    </row>
    <row r="39" spans="3:9" x14ac:dyDescent="0.3">
      <c r="C39" s="10" t="s">
        <v>24</v>
      </c>
      <c r="E39" s="1" t="str">
        <f t="array" ref="E39:F39">_xll.StatisticalFunctions.DescriptiveStatistics(xs,C39)</f>
        <v>Variance.S</v>
      </c>
      <c r="F39" s="1">
        <v>9.1666666666666661</v>
      </c>
      <c r="H39" s="1">
        <f>_xlfn.VAR.S(xs)</f>
        <v>9.1666666666666661</v>
      </c>
      <c r="I39" t="str">
        <f>IF(ROUND(H39,6)-ROUND(F39,6)=0, "PASSED", "FAILED")</f>
        <v>PASSED</v>
      </c>
    </row>
    <row r="40" spans="3:9" x14ac:dyDescent="0.3">
      <c r="C40" s="10" t="s">
        <v>25</v>
      </c>
      <c r="E40" s="1" t="str">
        <f t="array" ref="E40:F40">_xll.StatisticalFunctions.DescriptiveStatistics(xs,C40)</f>
        <v>Q1</v>
      </c>
      <c r="F40" s="1">
        <v>2.25</v>
      </c>
      <c r="H40" s="1">
        <f>_xlfn.QUARTILE.INC(xs,1)</f>
        <v>2.25</v>
      </c>
      <c r="I40" t="str">
        <f>IF(ROUND(H40,6)-ROUND(F40,6)=0, "PASSED", "FAILED")</f>
        <v>PASSED</v>
      </c>
    </row>
    <row r="41" spans="3:9" x14ac:dyDescent="0.3">
      <c r="C41" s="10" t="s">
        <v>26</v>
      </c>
      <c r="E41" s="1" t="str">
        <f t="array" ref="E41:F41">_xll.StatisticalFunctions.DescriptiveStatistics(xs,C41)</f>
        <v>Q3</v>
      </c>
      <c r="F41" s="1">
        <v>6.75</v>
      </c>
      <c r="H41" s="1">
        <f>_xlfn.QUARTILE.INC(xs,3)</f>
        <v>6.75</v>
      </c>
      <c r="I41" t="str">
        <f>IF(ROUND(H41,6)-ROUND(F41,6)=0, "PASSED", "FAILED")</f>
        <v>PASSED</v>
      </c>
    </row>
  </sheetData>
  <conditionalFormatting sqref="I3:I20">
    <cfRule type="cellIs" dxfId="32" priority="7" operator="equal">
      <formula>"PASSED"</formula>
    </cfRule>
    <cfRule type="cellIs" dxfId="31" priority="8" operator="equal">
      <formula>"FAILED"</formula>
    </cfRule>
    <cfRule type="cellIs" dxfId="30" priority="9" operator="equal">
      <formula>"PASSED"</formula>
    </cfRule>
  </conditionalFormatting>
  <conditionalFormatting sqref="I26:I41">
    <cfRule type="cellIs" dxfId="29" priority="10" operator="equal">
      <formula>"PASSED"</formula>
    </cfRule>
    <cfRule type="cellIs" dxfId="28" priority="11" operator="equal">
      <formula>"FAILED"</formula>
    </cfRule>
    <cfRule type="cellIs" dxfId="27" priority="12" operator="equal">
      <formula>"PASSED"</formula>
    </cfRule>
  </conditionalFormatting>
  <conditionalFormatting sqref="O3:O20">
    <cfRule type="cellIs" dxfId="26" priority="4" operator="equal">
      <formula>"PASSED"</formula>
    </cfRule>
    <cfRule type="cellIs" dxfId="25" priority="5" operator="equal">
      <formula>"FAILED"</formula>
    </cfRule>
    <cfRule type="cellIs" dxfId="24" priority="6" operator="equal">
      <formula>"PASSED"</formula>
    </cfRule>
  </conditionalFormatting>
  <conditionalFormatting sqref="U3:U11">
    <cfRule type="cellIs" dxfId="23" priority="1" operator="equal">
      <formula>"PASSED"</formula>
    </cfRule>
    <cfRule type="cellIs" dxfId="22" priority="2" operator="equal">
      <formula>"FAILED"</formula>
    </cfRule>
    <cfRule type="cellIs" dxfId="21" priority="3" operator="equal">
      <formula>"PASSED"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0B80-19B6-466B-8853-A8BE6556D557}">
  <dimension ref="B2:G17"/>
  <sheetViews>
    <sheetView workbookViewId="0"/>
  </sheetViews>
  <sheetFormatPr defaultRowHeight="14.4" x14ac:dyDescent="0.3"/>
  <cols>
    <col min="2" max="2" width="5.6640625" customWidth="1"/>
    <col min="3" max="3" width="11.77734375" customWidth="1"/>
    <col min="4" max="4" width="4.33203125" customWidth="1"/>
    <col min="5" max="5" width="10.33203125" customWidth="1"/>
    <col min="6" max="6" width="10.5546875" bestFit="1" customWidth="1"/>
  </cols>
  <sheetData>
    <row r="2" spans="2:7" x14ac:dyDescent="0.3">
      <c r="B2" s="3" t="s">
        <v>28</v>
      </c>
      <c r="C2" s="3" t="s">
        <v>29</v>
      </c>
      <c r="E2" s="3" t="s">
        <v>34</v>
      </c>
    </row>
    <row r="3" spans="2:7" x14ac:dyDescent="0.3">
      <c r="B3" s="1">
        <v>1</v>
      </c>
      <c r="C3" s="1">
        <v>1</v>
      </c>
      <c r="E3" s="1" t="e">
        <f t="array" ref="E3:E17">_xll.StatisticalFunctions.MovingAverage(B3:B17,C3:C17,3)</f>
        <v>#N/A</v>
      </c>
      <c r="F3" s="1" t="e">
        <v>#N/A</v>
      </c>
      <c r="G3" t="e">
        <f>IF(ROUND(F3,6)-ROUND(E3,6)=0, "PASSED", "FAILED")</f>
        <v>#N/A</v>
      </c>
    </row>
    <row r="4" spans="2:7" x14ac:dyDescent="0.3">
      <c r="B4" s="1">
        <v>2</v>
      </c>
      <c r="C4" s="1">
        <v>3</v>
      </c>
      <c r="E4" s="1" t="e">
        <v>#N/A</v>
      </c>
      <c r="F4" s="1" t="e">
        <v>#N/A</v>
      </c>
      <c r="G4" t="e">
        <f>IF(ROUND(F4,6)-ROUND(E4,6)=0, "PASSED", "FAILED")</f>
        <v>#N/A</v>
      </c>
    </row>
    <row r="5" spans="2:7" x14ac:dyDescent="0.3">
      <c r="B5" s="1">
        <v>3</v>
      </c>
      <c r="C5" s="1">
        <v>5</v>
      </c>
      <c r="E5" s="15">
        <v>3</v>
      </c>
      <c r="F5" s="15">
        <f>AVERAGE(C3:C5)</f>
        <v>3</v>
      </c>
      <c r="G5" t="str">
        <f>IF(ROUND(F5,6)-ROUND(E5,6)=0, "PASSED", "FAILED")</f>
        <v>PASSED</v>
      </c>
    </row>
    <row r="6" spans="2:7" x14ac:dyDescent="0.3">
      <c r="B6" s="1">
        <v>4</v>
      </c>
      <c r="C6" s="1">
        <v>7</v>
      </c>
      <c r="E6" s="15">
        <v>5</v>
      </c>
      <c r="F6" s="15">
        <f>AVERAGE(C4:C6)</f>
        <v>5</v>
      </c>
      <c r="G6" t="str">
        <f>IF(ROUND(F6,6)-ROUND(E6,6)=0, "PASSED", "FAILED")</f>
        <v>PASSED</v>
      </c>
    </row>
    <row r="7" spans="2:7" x14ac:dyDescent="0.3">
      <c r="B7" s="1">
        <v>5</v>
      </c>
      <c r="C7" s="1">
        <v>8</v>
      </c>
      <c r="E7" s="15">
        <v>6.666666666666667</v>
      </c>
      <c r="F7" s="15">
        <f>AVERAGE(C5:C7)</f>
        <v>6.666666666666667</v>
      </c>
      <c r="G7" t="str">
        <f>IF(ROUND(F7,6)-ROUND(E7,6)=0, "PASSED", "FAILED")</f>
        <v>PASSED</v>
      </c>
    </row>
    <row r="8" spans="2:7" x14ac:dyDescent="0.3">
      <c r="B8" s="1">
        <v>6</v>
      </c>
      <c r="C8" s="1">
        <v>18</v>
      </c>
      <c r="E8" s="15">
        <v>11</v>
      </c>
      <c r="F8" s="15">
        <f>AVERAGE(C6:C8)</f>
        <v>11</v>
      </c>
      <c r="G8" t="str">
        <f>IF(ROUND(F8,6)-ROUND(E8,6)=0, "PASSED", "FAILED")</f>
        <v>PASSED</v>
      </c>
    </row>
    <row r="9" spans="2:7" x14ac:dyDescent="0.3">
      <c r="B9" s="1">
        <v>7</v>
      </c>
      <c r="C9" s="1">
        <v>4</v>
      </c>
      <c r="E9" s="15">
        <v>10</v>
      </c>
      <c r="F9" s="15">
        <f>AVERAGE(C7:C9)</f>
        <v>10</v>
      </c>
      <c r="G9" t="str">
        <f>IF(ROUND(F9,6)-ROUND(E9,6)=0, "PASSED", "FAILED")</f>
        <v>PASSED</v>
      </c>
    </row>
    <row r="10" spans="2:7" x14ac:dyDescent="0.3">
      <c r="B10" s="1">
        <v>8</v>
      </c>
      <c r="C10" s="1">
        <v>1</v>
      </c>
      <c r="E10" s="15">
        <v>7.666666666666667</v>
      </c>
      <c r="F10" s="15">
        <f>AVERAGE(C8:C10)</f>
        <v>7.666666666666667</v>
      </c>
      <c r="G10" t="str">
        <f>IF(ROUND(F10,6)-ROUND(E10,6)=0, "PASSED", "FAILED")</f>
        <v>PASSED</v>
      </c>
    </row>
    <row r="11" spans="2:7" x14ac:dyDescent="0.3">
      <c r="B11" s="1">
        <v>9</v>
      </c>
      <c r="C11" s="1">
        <v>4</v>
      </c>
      <c r="E11" s="15">
        <v>3</v>
      </c>
      <c r="F11" s="15">
        <f>AVERAGE(C9:C11)</f>
        <v>3</v>
      </c>
      <c r="G11" t="str">
        <f>IF(ROUND(F11,6)-ROUND(E11,6)=0, "PASSED", "FAILED")</f>
        <v>PASSED</v>
      </c>
    </row>
    <row r="12" spans="2:7" x14ac:dyDescent="0.3">
      <c r="B12" s="1">
        <v>10</v>
      </c>
      <c r="C12" s="1">
        <v>3</v>
      </c>
      <c r="E12" s="15">
        <v>2.6666666666666665</v>
      </c>
      <c r="F12" s="15">
        <f>AVERAGE(C10:C12)</f>
        <v>2.6666666666666665</v>
      </c>
      <c r="G12" t="str">
        <f>IF(ROUND(F12,6)-ROUND(E12,6)=0, "PASSED", "FAILED")</f>
        <v>PASSED</v>
      </c>
    </row>
    <row r="13" spans="2:7" x14ac:dyDescent="0.3">
      <c r="B13" s="1">
        <v>11</v>
      </c>
      <c r="C13" s="1">
        <v>5</v>
      </c>
      <c r="E13" s="15">
        <v>4</v>
      </c>
      <c r="F13" s="15">
        <f>AVERAGE(C11:C13)</f>
        <v>4</v>
      </c>
      <c r="G13" t="str">
        <f>IF(ROUND(F13,6)-ROUND(E13,6)=0, "PASSED", "FAILED")</f>
        <v>PASSED</v>
      </c>
    </row>
    <row r="14" spans="2:7" x14ac:dyDescent="0.3">
      <c r="B14" s="1">
        <v>12</v>
      </c>
      <c r="C14" s="1">
        <v>7</v>
      </c>
      <c r="E14" s="15">
        <v>5</v>
      </c>
      <c r="F14" s="15">
        <f>AVERAGE(C12:C14)</f>
        <v>5</v>
      </c>
      <c r="G14" t="str">
        <f>IF(ROUND(F14,6)-ROUND(E14,6)=0, "PASSED", "FAILED")</f>
        <v>PASSED</v>
      </c>
    </row>
    <row r="15" spans="2:7" x14ac:dyDescent="0.3">
      <c r="B15" s="1">
        <v>13</v>
      </c>
      <c r="C15" s="1">
        <v>5</v>
      </c>
      <c r="E15" s="15">
        <v>5.666666666666667</v>
      </c>
      <c r="F15" s="15">
        <f>AVERAGE(C13:C15)</f>
        <v>5.666666666666667</v>
      </c>
      <c r="G15" t="str">
        <f>IF(ROUND(F15,6)-ROUND(E15,6)=0, "PASSED", "FAILED")</f>
        <v>PASSED</v>
      </c>
    </row>
    <row r="16" spans="2:7" x14ac:dyDescent="0.3">
      <c r="B16" s="1">
        <v>14</v>
      </c>
      <c r="C16" s="1">
        <v>6</v>
      </c>
      <c r="E16" s="15">
        <v>6</v>
      </c>
      <c r="F16" s="15">
        <f>AVERAGE(C14:C16)</f>
        <v>6</v>
      </c>
      <c r="G16" t="str">
        <f>IF(ROUND(F16,6)-ROUND(E16,6)=0, "PASSED", "FAILED")</f>
        <v>PASSED</v>
      </c>
    </row>
    <row r="17" spans="2:7" x14ac:dyDescent="0.3">
      <c r="B17" s="1">
        <v>15</v>
      </c>
      <c r="C17" s="1">
        <v>7</v>
      </c>
      <c r="E17" s="15">
        <v>6</v>
      </c>
      <c r="F17" s="15">
        <f>AVERAGE(C15:C17)</f>
        <v>6</v>
      </c>
      <c r="G17" t="str">
        <f>IF(ROUND(F17,6)-ROUND(E17,6)=0, "PASSED", "FAILED")</f>
        <v>PASSED</v>
      </c>
    </row>
  </sheetData>
  <conditionalFormatting sqref="G3:G17">
    <cfRule type="cellIs" dxfId="20" priority="1" operator="equal">
      <formula>"PASSED"</formula>
    </cfRule>
    <cfRule type="cellIs" dxfId="19" priority="2" operator="equal">
      <formula>"FAILED"</formula>
    </cfRule>
    <cfRule type="cellIs" dxfId="18" priority="3" operator="equal">
      <formula>"PASSED"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6ADE-2484-4848-BCFD-8003D8A0A940}">
  <dimension ref="B2:AB251"/>
  <sheetViews>
    <sheetView workbookViewId="0">
      <selection activeCell="A3" sqref="A3"/>
    </sheetView>
  </sheetViews>
  <sheetFormatPr defaultRowHeight="14.4" x14ac:dyDescent="0.3"/>
  <cols>
    <col min="1" max="1" width="4.44140625" customWidth="1"/>
    <col min="4" max="4" width="4.44140625" customWidth="1"/>
    <col min="7" max="7" width="4.5546875" customWidth="1"/>
    <col min="10" max="10" width="4.5546875" customWidth="1"/>
    <col min="11" max="11" width="7" customWidth="1"/>
    <col min="12" max="12" width="5.109375" customWidth="1"/>
    <col min="14" max="14" width="5.109375" customWidth="1"/>
    <col min="17" max="17" width="5.5546875" customWidth="1"/>
    <col min="20" max="20" width="5.21875" customWidth="1"/>
    <col min="23" max="23" width="4.88671875" customWidth="1"/>
    <col min="25" max="25" width="13.33203125" customWidth="1"/>
    <col min="26" max="26" width="4.88671875" customWidth="1"/>
    <col min="27" max="27" width="9.5546875" bestFit="1" customWidth="1"/>
  </cols>
  <sheetData>
    <row r="2" spans="2:28" x14ac:dyDescent="0.3">
      <c r="B2" s="3" t="s">
        <v>9</v>
      </c>
      <c r="C2" s="3"/>
      <c r="E2" s="3" t="s">
        <v>10</v>
      </c>
      <c r="F2" s="3"/>
      <c r="H2" s="3" t="s">
        <v>10</v>
      </c>
      <c r="I2" s="3"/>
      <c r="K2" s="1"/>
      <c r="L2" s="1"/>
      <c r="M2" s="4" t="s">
        <v>8</v>
      </c>
      <c r="O2" s="3" t="s">
        <v>10</v>
      </c>
      <c r="P2" s="3"/>
      <c r="R2" s="3" t="s">
        <v>10</v>
      </c>
      <c r="S2" s="3"/>
      <c r="U2" s="3" t="s">
        <v>2</v>
      </c>
      <c r="V2" s="3" t="s">
        <v>3</v>
      </c>
      <c r="X2" s="3" t="s">
        <v>10</v>
      </c>
      <c r="Y2" s="3"/>
      <c r="AA2" s="3" t="s">
        <v>10</v>
      </c>
      <c r="AB2" s="3"/>
    </row>
    <row r="3" spans="2:28" x14ac:dyDescent="0.3">
      <c r="B3" s="5" t="s">
        <v>4</v>
      </c>
      <c r="C3" s="1">
        <v>5</v>
      </c>
      <c r="E3" s="6" t="str">
        <f t="array" ref="E3:F8">_xll.StatisticalFunctions.SummaryDataTTest(C3,C4,C5,C6)</f>
        <v>t</v>
      </c>
      <c r="F3" s="1">
        <v>2611.2838001159162</v>
      </c>
      <c r="H3" s="1">
        <v>2611.2838001159162</v>
      </c>
      <c r="I3" t="str">
        <f>IF(ROUND(H3,6)-ROUND(F3,6)=0, "PASSED", "FAILED")</f>
        <v>PASSED</v>
      </c>
      <c r="K3" s="5" t="s">
        <v>4</v>
      </c>
      <c r="L3" s="7">
        <v>25</v>
      </c>
      <c r="M3" s="1">
        <v>17.600000000000001</v>
      </c>
      <c r="O3" s="5" t="str">
        <f t="array" ref="O3:P8">_xll.StatisticalFunctions.OneSampleTTest(L3, M3:M12)</f>
        <v>t</v>
      </c>
      <c r="P3" s="1">
        <v>-9.0783186977580819</v>
      </c>
      <c r="R3" s="1">
        <v>-9.0783186977580819</v>
      </c>
      <c r="S3" t="str">
        <f>IF(ROUND(R3,6)-ROUND(P3,6)=0, "PASSED", "FAILED")</f>
        <v>PASSED</v>
      </c>
      <c r="U3" s="1">
        <v>18</v>
      </c>
      <c r="V3" s="1">
        <v>24</v>
      </c>
      <c r="X3" s="5" t="str">
        <f t="array" ref="X3:Y11">_xll.StatisticalFunctions.TwoSampleTTest(U3:U251,V3:V81)</f>
        <v>t</v>
      </c>
      <c r="Y3" s="8">
        <v>-12.620591288724366</v>
      </c>
      <c r="AA3" s="9">
        <v>-12.620591288724366</v>
      </c>
      <c r="AB3" t="str">
        <f>IF(ROUND(AA3,6)-ROUND(Y3,6)=0, "PASSED", "FAILED")</f>
        <v>PASSED</v>
      </c>
    </row>
    <row r="4" spans="2:28" x14ac:dyDescent="0.3">
      <c r="B4" s="5" t="s">
        <v>5</v>
      </c>
      <c r="C4" s="1">
        <v>9.2614599999999996</v>
      </c>
      <c r="E4" s="5" t="str">
        <v>pval</v>
      </c>
      <c r="F4" s="1">
        <v>0</v>
      </c>
      <c r="H4" s="1">
        <v>0</v>
      </c>
      <c r="I4" t="str">
        <f>IF(ROUND(H4,6)-ROUND(F4,6)=0, "PASSED", "FAILED")</f>
        <v>PASSED</v>
      </c>
      <c r="K4" s="1"/>
      <c r="L4" s="1"/>
      <c r="M4" s="1">
        <v>20.6</v>
      </c>
      <c r="O4" s="5" t="str">
        <v>pval</v>
      </c>
      <c r="P4" s="1">
        <v>7.9533834794647118E-6</v>
      </c>
      <c r="R4" s="1">
        <v>7.9533834794647118E-6</v>
      </c>
      <c r="S4" t="str">
        <f>IF(ROUND(R4,6)-ROUND(P4,6)=0, "PASSED", "FAILED")</f>
        <v>PASSED</v>
      </c>
      <c r="U4" s="1">
        <v>15</v>
      </c>
      <c r="V4" s="1">
        <v>27</v>
      </c>
      <c r="X4" s="5" t="str">
        <v>pval</v>
      </c>
      <c r="Y4" s="8">
        <v>5.2729354566083755E-30</v>
      </c>
      <c r="AA4" s="9">
        <v>5.2729354566083755E-30</v>
      </c>
      <c r="AB4" t="str">
        <f>IF(ROUND(AA4,6)-ROUND(Y4,6)=0, "PASSED", "FAILED")</f>
        <v>PASSED</v>
      </c>
    </row>
    <row r="5" spans="2:28" x14ac:dyDescent="0.3">
      <c r="B5" s="5" t="s">
        <v>6</v>
      </c>
      <c r="C5" s="2">
        <v>2.278881E-2</v>
      </c>
      <c r="E5" s="5" t="str">
        <v>df</v>
      </c>
      <c r="F5" s="1">
        <v>194</v>
      </c>
      <c r="H5" s="1">
        <v>194</v>
      </c>
      <c r="I5" t="str">
        <f>IF(ROUND(H5,6)-ROUND(F5,6)=0, "PASSED", "FAILED")</f>
        <v>PASSED</v>
      </c>
      <c r="K5" s="1"/>
      <c r="L5" s="1"/>
      <c r="M5" s="1">
        <v>22.2</v>
      </c>
      <c r="O5" s="5" t="str">
        <v>df</v>
      </c>
      <c r="P5" s="1">
        <v>9</v>
      </c>
      <c r="R5" s="1">
        <v>9</v>
      </c>
      <c r="S5" t="str">
        <f>IF(ROUND(R5,6)-ROUND(P5,6)=0, "PASSED", "FAILED")</f>
        <v>PASSED</v>
      </c>
      <c r="U5" s="1">
        <v>18</v>
      </c>
      <c r="V5" s="1">
        <v>27</v>
      </c>
      <c r="X5" s="5" t="str">
        <v>x2-bar</v>
      </c>
      <c r="Y5" s="8">
        <v>30.481012658227847</v>
      </c>
      <c r="AA5" s="9">
        <v>30.481012658227847</v>
      </c>
      <c r="AB5" t="str">
        <f>IF(ROUND(AA5,6)-ROUND(Y5,6)=0, "PASSED", "FAILED")</f>
        <v>PASSED</v>
      </c>
    </row>
    <row r="6" spans="2:28" x14ac:dyDescent="0.3">
      <c r="B6" s="5" t="s">
        <v>7</v>
      </c>
      <c r="C6" s="1">
        <v>195</v>
      </c>
      <c r="E6" s="5" t="str">
        <v>x1-bar</v>
      </c>
      <c r="F6" s="1">
        <v>9.2614599999999996</v>
      </c>
      <c r="H6" s="1">
        <v>9.2614599999999996</v>
      </c>
      <c r="I6" t="str">
        <f>IF(ROUND(H6,6)-ROUND(F6,6)=0, "PASSED", "FAILED")</f>
        <v>PASSED</v>
      </c>
      <c r="K6" s="1"/>
      <c r="L6" s="1"/>
      <c r="M6" s="1">
        <v>15.3</v>
      </c>
      <c r="O6" s="5" t="str">
        <v>x1-bar</v>
      </c>
      <c r="P6" s="1">
        <v>19.25</v>
      </c>
      <c r="R6" s="1">
        <v>19.25</v>
      </c>
      <c r="S6" t="str">
        <f>IF(ROUND(R6,6)-ROUND(P6,6)=0, "PASSED", "FAILED")</f>
        <v>PASSED</v>
      </c>
      <c r="U6" s="1">
        <v>16</v>
      </c>
      <c r="V6" s="1">
        <v>25</v>
      </c>
      <c r="X6" s="5" t="str">
        <v>df</v>
      </c>
      <c r="Y6" s="8">
        <v>326</v>
      </c>
      <c r="AA6" s="9">
        <v>326</v>
      </c>
      <c r="AB6" t="str">
        <f>IF(ROUND(AA6,6)-ROUND(Y6,6)=0, "PASSED", "FAILED")</f>
        <v>PASSED</v>
      </c>
    </row>
    <row r="7" spans="2:28" x14ac:dyDescent="0.3">
      <c r="E7" s="5" t="str">
        <v>sx1</v>
      </c>
      <c r="F7" s="1">
        <v>2.278881E-2</v>
      </c>
      <c r="H7" s="1">
        <v>2.278881E-2</v>
      </c>
      <c r="I7" t="str">
        <f>IF(ROUND(H7,6)-ROUND(F7,6)=0, "PASSED", "FAILED")</f>
        <v>PASSED</v>
      </c>
      <c r="K7" s="1"/>
      <c r="L7" s="1"/>
      <c r="M7" s="1">
        <v>20.9</v>
      </c>
      <c r="O7" s="5" t="str">
        <v>sx1</v>
      </c>
      <c r="P7" s="1">
        <v>2.0029145430264035</v>
      </c>
      <c r="R7" s="1">
        <v>2.002914543026403</v>
      </c>
      <c r="S7" t="str">
        <f>IF(ROUND(R7,6)-ROUND(P7,6)=0, "PASSED", "FAILED")</f>
        <v>PASSED</v>
      </c>
      <c r="U7" s="1">
        <v>17</v>
      </c>
      <c r="V7" s="1">
        <v>31</v>
      </c>
      <c r="X7" s="5" t="str">
        <v>x1-bar</v>
      </c>
      <c r="Y7" s="8">
        <v>20.14457831325301</v>
      </c>
      <c r="AA7" s="9">
        <v>20.14457831325301</v>
      </c>
      <c r="AB7" t="str">
        <f>IF(ROUND(AA7,6)-ROUND(Y7,6)=0, "PASSED", "FAILED")</f>
        <v>PASSED</v>
      </c>
    </row>
    <row r="8" spans="2:28" x14ac:dyDescent="0.3">
      <c r="E8" s="5" t="str">
        <v>n1</v>
      </c>
      <c r="F8" s="1">
        <v>195</v>
      </c>
      <c r="H8" s="1">
        <v>195</v>
      </c>
      <c r="I8" t="str">
        <f>IF(ROUND(H8,6)-ROUND(F8,6)=0, "PASSED", "FAILED")</f>
        <v>PASSED</v>
      </c>
      <c r="K8" s="1"/>
      <c r="L8" s="1"/>
      <c r="M8" s="1">
        <v>21</v>
      </c>
      <c r="O8" s="5" t="str">
        <v>n1</v>
      </c>
      <c r="P8" s="1">
        <v>10</v>
      </c>
      <c r="R8" s="1">
        <v>10</v>
      </c>
      <c r="S8" t="str">
        <f>IF(ROUND(R8,6)-ROUND(P8,6)=0, "PASSED", "FAILED")</f>
        <v>PASSED</v>
      </c>
      <c r="U8" s="1">
        <v>15</v>
      </c>
      <c r="V8" s="1">
        <v>35</v>
      </c>
      <c r="X8" s="5" t="str">
        <v>sx1</v>
      </c>
      <c r="Y8" s="8">
        <v>6.4146993432432362</v>
      </c>
      <c r="AA8" s="9">
        <v>6.414699343243238</v>
      </c>
      <c r="AB8" t="str">
        <f>IF(ROUND(AA8,6)-ROUND(Y8,6)=0, "PASSED", "FAILED")</f>
        <v>PASSED</v>
      </c>
    </row>
    <row r="9" spans="2:28" x14ac:dyDescent="0.3">
      <c r="K9" s="1"/>
      <c r="L9" s="1"/>
      <c r="M9" s="1">
        <v>18.899999999999999</v>
      </c>
      <c r="U9" s="1">
        <v>14</v>
      </c>
      <c r="V9" s="1">
        <v>24</v>
      </c>
      <c r="X9" s="5" t="str">
        <v>n1</v>
      </c>
      <c r="Y9" s="8">
        <v>249</v>
      </c>
      <c r="AA9" s="9">
        <v>249</v>
      </c>
      <c r="AB9" t="str">
        <f>IF(ROUND(AA9,6)-ROUND(Y9,6)=0, "PASSED", "FAILED")</f>
        <v>PASSED</v>
      </c>
    </row>
    <row r="10" spans="2:28" x14ac:dyDescent="0.3">
      <c r="K10" s="1"/>
      <c r="L10" s="1"/>
      <c r="M10" s="1">
        <v>18.899999999999999</v>
      </c>
      <c r="U10" s="1">
        <v>14</v>
      </c>
      <c r="V10" s="1">
        <v>19</v>
      </c>
      <c r="X10" s="5" t="str">
        <v>sx2</v>
      </c>
      <c r="Y10" s="8">
        <v>6.1077100486433755</v>
      </c>
      <c r="AA10" s="9">
        <v>6.1077100486433737</v>
      </c>
      <c r="AB10" t="str">
        <f>IF(ROUND(AA10,6)-ROUND(Y10,6)=0, "PASSED", "FAILED")</f>
        <v>PASSED</v>
      </c>
    </row>
    <row r="11" spans="2:28" x14ac:dyDescent="0.3">
      <c r="K11" s="1"/>
      <c r="L11" s="1"/>
      <c r="M11" s="1">
        <v>18.899999999999999</v>
      </c>
      <c r="U11" s="1">
        <v>14</v>
      </c>
      <c r="V11" s="1">
        <v>28</v>
      </c>
      <c r="X11" s="5" t="str">
        <v>n2</v>
      </c>
      <c r="Y11" s="8">
        <v>79</v>
      </c>
      <c r="AA11" s="9">
        <v>79</v>
      </c>
      <c r="AB11" t="str">
        <f>IF(ROUND(AA11,6)-ROUND(Y11,6)=0, "PASSED", "FAILED")</f>
        <v>PASSED</v>
      </c>
    </row>
    <row r="12" spans="2:28" x14ac:dyDescent="0.3">
      <c r="K12" s="1"/>
      <c r="L12" s="1"/>
      <c r="M12" s="1">
        <v>18.2</v>
      </c>
      <c r="U12" s="1">
        <v>15</v>
      </c>
      <c r="V12" s="1">
        <v>23</v>
      </c>
    </row>
    <row r="13" spans="2:28" x14ac:dyDescent="0.3">
      <c r="U13" s="1">
        <v>15</v>
      </c>
      <c r="V13" s="1">
        <v>27</v>
      </c>
    </row>
    <row r="14" spans="2:28" x14ac:dyDescent="0.3">
      <c r="U14" s="1">
        <v>14</v>
      </c>
      <c r="V14" s="1">
        <v>20</v>
      </c>
    </row>
    <row r="15" spans="2:28" x14ac:dyDescent="0.3">
      <c r="U15" s="1">
        <v>15</v>
      </c>
      <c r="V15" s="1">
        <v>22</v>
      </c>
    </row>
    <row r="16" spans="2:28" x14ac:dyDescent="0.3">
      <c r="U16" s="1">
        <v>14</v>
      </c>
      <c r="V16" s="1">
        <v>18</v>
      </c>
    </row>
    <row r="17" spans="21:22" x14ac:dyDescent="0.3">
      <c r="U17" s="1">
        <v>22</v>
      </c>
      <c r="V17" s="1">
        <v>20</v>
      </c>
    </row>
    <row r="18" spans="21:22" x14ac:dyDescent="0.3">
      <c r="U18" s="1">
        <v>18</v>
      </c>
      <c r="V18" s="1">
        <v>31</v>
      </c>
    </row>
    <row r="19" spans="21:22" x14ac:dyDescent="0.3">
      <c r="U19" s="1">
        <v>21</v>
      </c>
      <c r="V19" s="1">
        <v>32</v>
      </c>
    </row>
    <row r="20" spans="21:22" x14ac:dyDescent="0.3">
      <c r="U20" s="1">
        <v>21</v>
      </c>
      <c r="V20" s="1">
        <v>31</v>
      </c>
    </row>
    <row r="21" spans="21:22" x14ac:dyDescent="0.3">
      <c r="U21" s="1">
        <v>10</v>
      </c>
      <c r="V21" s="1">
        <v>32</v>
      </c>
    </row>
    <row r="22" spans="21:22" x14ac:dyDescent="0.3">
      <c r="U22" s="1">
        <v>10</v>
      </c>
      <c r="V22" s="1">
        <v>24</v>
      </c>
    </row>
    <row r="23" spans="21:22" x14ac:dyDescent="0.3">
      <c r="U23" s="1">
        <v>11</v>
      </c>
      <c r="V23" s="1">
        <v>26</v>
      </c>
    </row>
    <row r="24" spans="21:22" x14ac:dyDescent="0.3">
      <c r="U24" s="1">
        <v>9</v>
      </c>
      <c r="V24" s="1">
        <v>29</v>
      </c>
    </row>
    <row r="25" spans="21:22" x14ac:dyDescent="0.3">
      <c r="U25" s="1">
        <v>28</v>
      </c>
      <c r="V25" s="1">
        <v>24</v>
      </c>
    </row>
    <row r="26" spans="21:22" x14ac:dyDescent="0.3">
      <c r="U26" s="1">
        <v>25</v>
      </c>
      <c r="V26" s="1">
        <v>24</v>
      </c>
    </row>
    <row r="27" spans="21:22" x14ac:dyDescent="0.3">
      <c r="U27" s="1">
        <v>19</v>
      </c>
      <c r="V27" s="1">
        <v>33</v>
      </c>
    </row>
    <row r="28" spans="21:22" x14ac:dyDescent="0.3">
      <c r="U28" s="1">
        <v>16</v>
      </c>
      <c r="V28" s="1">
        <v>33</v>
      </c>
    </row>
    <row r="29" spans="21:22" x14ac:dyDescent="0.3">
      <c r="U29" s="1">
        <v>17</v>
      </c>
      <c r="V29" s="1">
        <v>32</v>
      </c>
    </row>
    <row r="30" spans="21:22" x14ac:dyDescent="0.3">
      <c r="U30" s="1">
        <v>19</v>
      </c>
      <c r="V30" s="1">
        <v>28</v>
      </c>
    </row>
    <row r="31" spans="21:22" x14ac:dyDescent="0.3">
      <c r="U31" s="1">
        <v>18</v>
      </c>
      <c r="V31" s="1">
        <v>19</v>
      </c>
    </row>
    <row r="32" spans="21:22" x14ac:dyDescent="0.3">
      <c r="U32" s="1">
        <v>14</v>
      </c>
      <c r="V32" s="1">
        <v>32</v>
      </c>
    </row>
    <row r="33" spans="21:22" x14ac:dyDescent="0.3">
      <c r="U33" s="1">
        <v>14</v>
      </c>
      <c r="V33" s="1">
        <v>34</v>
      </c>
    </row>
    <row r="34" spans="21:22" x14ac:dyDescent="0.3">
      <c r="U34" s="1">
        <v>14</v>
      </c>
      <c r="V34" s="1">
        <v>26</v>
      </c>
    </row>
    <row r="35" spans="21:22" x14ac:dyDescent="0.3">
      <c r="U35" s="1">
        <v>14</v>
      </c>
      <c r="V35" s="1">
        <v>30</v>
      </c>
    </row>
    <row r="36" spans="21:22" x14ac:dyDescent="0.3">
      <c r="U36" s="1">
        <v>12</v>
      </c>
      <c r="V36" s="1">
        <v>22</v>
      </c>
    </row>
    <row r="37" spans="21:22" x14ac:dyDescent="0.3">
      <c r="U37" s="1">
        <v>13</v>
      </c>
      <c r="V37" s="1">
        <v>22</v>
      </c>
    </row>
    <row r="38" spans="21:22" x14ac:dyDescent="0.3">
      <c r="U38" s="1">
        <v>13</v>
      </c>
      <c r="V38" s="1">
        <v>33</v>
      </c>
    </row>
    <row r="39" spans="21:22" x14ac:dyDescent="0.3">
      <c r="U39" s="1">
        <v>18</v>
      </c>
      <c r="V39" s="1">
        <v>39</v>
      </c>
    </row>
    <row r="40" spans="21:22" x14ac:dyDescent="0.3">
      <c r="U40" s="1">
        <v>22</v>
      </c>
      <c r="V40" s="1">
        <v>36</v>
      </c>
    </row>
    <row r="41" spans="21:22" x14ac:dyDescent="0.3">
      <c r="U41" s="1">
        <v>19</v>
      </c>
      <c r="V41" s="1">
        <v>28</v>
      </c>
    </row>
    <row r="42" spans="21:22" x14ac:dyDescent="0.3">
      <c r="U42" s="1">
        <v>18</v>
      </c>
      <c r="V42" s="1">
        <v>27</v>
      </c>
    </row>
    <row r="43" spans="21:22" x14ac:dyDescent="0.3">
      <c r="U43" s="1">
        <v>23</v>
      </c>
      <c r="V43" s="1">
        <v>21</v>
      </c>
    </row>
    <row r="44" spans="21:22" x14ac:dyDescent="0.3">
      <c r="U44" s="1">
        <v>26</v>
      </c>
      <c r="V44" s="1">
        <v>24</v>
      </c>
    </row>
    <row r="45" spans="21:22" x14ac:dyDescent="0.3">
      <c r="U45" s="1">
        <v>25</v>
      </c>
      <c r="V45" s="1">
        <v>30</v>
      </c>
    </row>
    <row r="46" spans="21:22" x14ac:dyDescent="0.3">
      <c r="U46" s="1">
        <v>20</v>
      </c>
      <c r="V46" s="1">
        <v>34</v>
      </c>
    </row>
    <row r="47" spans="21:22" x14ac:dyDescent="0.3">
      <c r="U47" s="1">
        <v>21</v>
      </c>
      <c r="V47" s="1">
        <v>32</v>
      </c>
    </row>
    <row r="48" spans="21:22" x14ac:dyDescent="0.3">
      <c r="U48" s="1">
        <v>13</v>
      </c>
      <c r="V48" s="1">
        <v>38</v>
      </c>
    </row>
    <row r="49" spans="21:22" x14ac:dyDescent="0.3">
      <c r="U49" s="1">
        <v>14</v>
      </c>
      <c r="V49" s="1">
        <v>37</v>
      </c>
    </row>
    <row r="50" spans="21:22" x14ac:dyDescent="0.3">
      <c r="U50" s="1">
        <v>15</v>
      </c>
      <c r="V50" s="1">
        <v>30</v>
      </c>
    </row>
    <row r="51" spans="21:22" x14ac:dyDescent="0.3">
      <c r="U51" s="1">
        <v>14</v>
      </c>
      <c r="V51" s="1">
        <v>31</v>
      </c>
    </row>
    <row r="52" spans="21:22" x14ac:dyDescent="0.3">
      <c r="U52" s="1">
        <v>17</v>
      </c>
      <c r="V52" s="1">
        <v>37</v>
      </c>
    </row>
    <row r="53" spans="21:22" x14ac:dyDescent="0.3">
      <c r="U53" s="1">
        <v>11</v>
      </c>
      <c r="V53" s="1">
        <v>32</v>
      </c>
    </row>
    <row r="54" spans="21:22" x14ac:dyDescent="0.3">
      <c r="U54" s="1">
        <v>13</v>
      </c>
      <c r="V54" s="1">
        <v>47</v>
      </c>
    </row>
    <row r="55" spans="21:22" x14ac:dyDescent="0.3">
      <c r="U55" s="1">
        <v>12</v>
      </c>
      <c r="V55" s="1">
        <v>41</v>
      </c>
    </row>
    <row r="56" spans="21:22" x14ac:dyDescent="0.3">
      <c r="U56" s="1">
        <v>13</v>
      </c>
      <c r="V56" s="1">
        <v>45</v>
      </c>
    </row>
    <row r="57" spans="21:22" x14ac:dyDescent="0.3">
      <c r="U57" s="1">
        <v>15</v>
      </c>
      <c r="V57" s="1">
        <v>34</v>
      </c>
    </row>
    <row r="58" spans="21:22" x14ac:dyDescent="0.3">
      <c r="U58" s="1">
        <v>13</v>
      </c>
      <c r="V58" s="1">
        <v>33</v>
      </c>
    </row>
    <row r="59" spans="21:22" x14ac:dyDescent="0.3">
      <c r="U59" s="1">
        <v>13</v>
      </c>
      <c r="V59" s="1">
        <v>24</v>
      </c>
    </row>
    <row r="60" spans="21:22" x14ac:dyDescent="0.3">
      <c r="U60" s="1">
        <v>14</v>
      </c>
      <c r="V60" s="1">
        <v>32</v>
      </c>
    </row>
    <row r="61" spans="21:22" x14ac:dyDescent="0.3">
      <c r="U61" s="1">
        <v>22</v>
      </c>
      <c r="V61" s="1">
        <v>39</v>
      </c>
    </row>
    <row r="62" spans="21:22" x14ac:dyDescent="0.3">
      <c r="U62" s="1">
        <v>28</v>
      </c>
      <c r="V62" s="1">
        <v>35</v>
      </c>
    </row>
    <row r="63" spans="21:22" x14ac:dyDescent="0.3">
      <c r="U63" s="1">
        <v>13</v>
      </c>
      <c r="V63" s="1">
        <v>32</v>
      </c>
    </row>
    <row r="64" spans="21:22" x14ac:dyDescent="0.3">
      <c r="U64" s="1">
        <v>14</v>
      </c>
      <c r="V64" s="1">
        <v>37</v>
      </c>
    </row>
    <row r="65" spans="21:22" x14ac:dyDescent="0.3">
      <c r="U65" s="1">
        <v>13</v>
      </c>
      <c r="V65" s="1">
        <v>38</v>
      </c>
    </row>
    <row r="66" spans="21:22" x14ac:dyDescent="0.3">
      <c r="U66" s="1">
        <v>14</v>
      </c>
      <c r="V66" s="1">
        <v>34</v>
      </c>
    </row>
    <row r="67" spans="21:22" x14ac:dyDescent="0.3">
      <c r="U67" s="1">
        <v>15</v>
      </c>
      <c r="V67" s="1">
        <v>34</v>
      </c>
    </row>
    <row r="68" spans="21:22" x14ac:dyDescent="0.3">
      <c r="U68" s="1">
        <v>12</v>
      </c>
      <c r="V68" s="1">
        <v>32</v>
      </c>
    </row>
    <row r="69" spans="21:22" x14ac:dyDescent="0.3">
      <c r="U69" s="1">
        <v>13</v>
      </c>
      <c r="V69" s="1">
        <v>33</v>
      </c>
    </row>
    <row r="70" spans="21:22" x14ac:dyDescent="0.3">
      <c r="U70" s="1">
        <v>13</v>
      </c>
      <c r="V70" s="1">
        <v>32</v>
      </c>
    </row>
    <row r="71" spans="21:22" x14ac:dyDescent="0.3">
      <c r="U71" s="1">
        <v>14</v>
      </c>
      <c r="V71" s="1">
        <v>25</v>
      </c>
    </row>
    <row r="72" spans="21:22" x14ac:dyDescent="0.3">
      <c r="U72" s="1">
        <v>13</v>
      </c>
      <c r="V72" s="1">
        <v>24</v>
      </c>
    </row>
    <row r="73" spans="21:22" x14ac:dyDescent="0.3">
      <c r="U73" s="1">
        <v>12</v>
      </c>
      <c r="V73" s="1">
        <v>37</v>
      </c>
    </row>
    <row r="74" spans="21:22" x14ac:dyDescent="0.3">
      <c r="U74" s="1">
        <v>13</v>
      </c>
      <c r="V74" s="1">
        <v>31</v>
      </c>
    </row>
    <row r="75" spans="21:22" x14ac:dyDescent="0.3">
      <c r="U75" s="1">
        <v>18</v>
      </c>
      <c r="V75" s="1">
        <v>36</v>
      </c>
    </row>
    <row r="76" spans="21:22" x14ac:dyDescent="0.3">
      <c r="U76" s="1">
        <v>16</v>
      </c>
      <c r="V76" s="1">
        <v>36</v>
      </c>
    </row>
    <row r="77" spans="21:22" x14ac:dyDescent="0.3">
      <c r="U77" s="1">
        <v>18</v>
      </c>
      <c r="V77" s="1">
        <v>34</v>
      </c>
    </row>
    <row r="78" spans="21:22" x14ac:dyDescent="0.3">
      <c r="U78" s="1">
        <v>18</v>
      </c>
      <c r="V78" s="1">
        <v>38</v>
      </c>
    </row>
    <row r="79" spans="21:22" x14ac:dyDescent="0.3">
      <c r="U79" s="1">
        <v>23</v>
      </c>
      <c r="V79" s="1">
        <v>32</v>
      </c>
    </row>
    <row r="80" spans="21:22" x14ac:dyDescent="0.3">
      <c r="U80" s="1">
        <v>11</v>
      </c>
      <c r="V80" s="1">
        <v>38</v>
      </c>
    </row>
    <row r="81" spans="21:22" x14ac:dyDescent="0.3">
      <c r="U81" s="1">
        <v>12</v>
      </c>
      <c r="V81" s="1">
        <v>32</v>
      </c>
    </row>
    <row r="82" spans="21:22" x14ac:dyDescent="0.3">
      <c r="U82" s="1">
        <v>13</v>
      </c>
      <c r="V82" s="1"/>
    </row>
    <row r="83" spans="21:22" x14ac:dyDescent="0.3">
      <c r="U83" s="1">
        <v>12</v>
      </c>
      <c r="V83" s="1"/>
    </row>
    <row r="84" spans="21:22" x14ac:dyDescent="0.3">
      <c r="U84" s="1">
        <v>18</v>
      </c>
      <c r="V84" s="1"/>
    </row>
    <row r="85" spans="21:22" x14ac:dyDescent="0.3">
      <c r="U85" s="1">
        <v>21</v>
      </c>
      <c r="V85" s="1"/>
    </row>
    <row r="86" spans="21:22" x14ac:dyDescent="0.3">
      <c r="U86" s="1">
        <v>19</v>
      </c>
      <c r="V86" s="1"/>
    </row>
    <row r="87" spans="21:22" x14ac:dyDescent="0.3">
      <c r="U87" s="1">
        <v>21</v>
      </c>
      <c r="V87" s="1"/>
    </row>
    <row r="88" spans="21:22" x14ac:dyDescent="0.3">
      <c r="U88" s="1">
        <v>15</v>
      </c>
      <c r="V88" s="1"/>
    </row>
    <row r="89" spans="21:22" x14ac:dyDescent="0.3">
      <c r="U89" s="1">
        <v>16</v>
      </c>
      <c r="V89" s="1"/>
    </row>
    <row r="90" spans="21:22" x14ac:dyDescent="0.3">
      <c r="U90" s="1">
        <v>15</v>
      </c>
      <c r="V90" s="1"/>
    </row>
    <row r="91" spans="21:22" x14ac:dyDescent="0.3">
      <c r="U91" s="1">
        <v>11</v>
      </c>
      <c r="V91" s="1"/>
    </row>
    <row r="92" spans="21:22" x14ac:dyDescent="0.3">
      <c r="U92" s="1">
        <v>20</v>
      </c>
      <c r="V92" s="1"/>
    </row>
    <row r="93" spans="21:22" x14ac:dyDescent="0.3">
      <c r="U93" s="1">
        <v>21</v>
      </c>
      <c r="V93" s="1"/>
    </row>
    <row r="94" spans="21:22" x14ac:dyDescent="0.3">
      <c r="U94" s="1">
        <v>19</v>
      </c>
      <c r="V94" s="1"/>
    </row>
    <row r="95" spans="21:22" x14ac:dyDescent="0.3">
      <c r="U95" s="1">
        <v>15</v>
      </c>
      <c r="V95" s="1"/>
    </row>
    <row r="96" spans="21:22" x14ac:dyDescent="0.3">
      <c r="U96" s="1">
        <v>26</v>
      </c>
      <c r="V96" s="1"/>
    </row>
    <row r="97" spans="21:22" x14ac:dyDescent="0.3">
      <c r="U97" s="1">
        <v>25</v>
      </c>
      <c r="V97" s="1"/>
    </row>
    <row r="98" spans="21:22" x14ac:dyDescent="0.3">
      <c r="U98" s="1">
        <v>16</v>
      </c>
      <c r="V98" s="1"/>
    </row>
    <row r="99" spans="21:22" x14ac:dyDescent="0.3">
      <c r="U99" s="1">
        <v>16</v>
      </c>
      <c r="V99" s="1"/>
    </row>
    <row r="100" spans="21:22" x14ac:dyDescent="0.3">
      <c r="U100" s="1">
        <v>18</v>
      </c>
      <c r="V100" s="1"/>
    </row>
    <row r="101" spans="21:22" x14ac:dyDescent="0.3">
      <c r="U101" s="1">
        <v>16</v>
      </c>
      <c r="V101" s="1"/>
    </row>
    <row r="102" spans="21:22" x14ac:dyDescent="0.3">
      <c r="U102" s="1">
        <v>13</v>
      </c>
      <c r="V102" s="1"/>
    </row>
    <row r="103" spans="21:22" x14ac:dyDescent="0.3">
      <c r="U103" s="1">
        <v>14</v>
      </c>
      <c r="V103" s="1"/>
    </row>
    <row r="104" spans="21:22" x14ac:dyDescent="0.3">
      <c r="U104" s="1">
        <v>14</v>
      </c>
      <c r="V104" s="1"/>
    </row>
    <row r="105" spans="21:22" x14ac:dyDescent="0.3">
      <c r="U105" s="1">
        <v>14</v>
      </c>
      <c r="V105" s="1"/>
    </row>
    <row r="106" spans="21:22" x14ac:dyDescent="0.3">
      <c r="U106" s="1">
        <v>28</v>
      </c>
      <c r="V106" s="1"/>
    </row>
    <row r="107" spans="21:22" x14ac:dyDescent="0.3">
      <c r="U107" s="1">
        <v>19</v>
      </c>
      <c r="V107" s="1"/>
    </row>
    <row r="108" spans="21:22" x14ac:dyDescent="0.3">
      <c r="U108" s="1">
        <v>18</v>
      </c>
      <c r="V108" s="1"/>
    </row>
    <row r="109" spans="21:22" x14ac:dyDescent="0.3">
      <c r="U109" s="1">
        <v>15</v>
      </c>
      <c r="V109" s="1"/>
    </row>
    <row r="110" spans="21:22" x14ac:dyDescent="0.3">
      <c r="U110" s="1">
        <v>15</v>
      </c>
      <c r="V110" s="1"/>
    </row>
    <row r="111" spans="21:22" x14ac:dyDescent="0.3">
      <c r="U111" s="1">
        <v>16</v>
      </c>
      <c r="V111" s="1"/>
    </row>
    <row r="112" spans="21:22" x14ac:dyDescent="0.3">
      <c r="U112" s="1">
        <v>15</v>
      </c>
      <c r="V112" s="1"/>
    </row>
    <row r="113" spans="21:22" x14ac:dyDescent="0.3">
      <c r="U113" s="1">
        <v>16</v>
      </c>
      <c r="V113" s="1"/>
    </row>
    <row r="114" spans="21:22" x14ac:dyDescent="0.3">
      <c r="U114" s="1">
        <v>14</v>
      </c>
      <c r="V114" s="1"/>
    </row>
    <row r="115" spans="21:22" x14ac:dyDescent="0.3">
      <c r="U115" s="1">
        <v>17</v>
      </c>
      <c r="V115" s="1"/>
    </row>
    <row r="116" spans="21:22" x14ac:dyDescent="0.3">
      <c r="U116" s="1">
        <v>16</v>
      </c>
      <c r="V116" s="1"/>
    </row>
    <row r="117" spans="21:22" x14ac:dyDescent="0.3">
      <c r="U117" s="1">
        <v>15</v>
      </c>
      <c r="V117" s="1"/>
    </row>
    <row r="118" spans="21:22" x14ac:dyDescent="0.3">
      <c r="U118" s="1">
        <v>18</v>
      </c>
      <c r="V118" s="1"/>
    </row>
    <row r="119" spans="21:22" x14ac:dyDescent="0.3">
      <c r="U119" s="1">
        <v>21</v>
      </c>
      <c r="V119" s="1"/>
    </row>
    <row r="120" spans="21:22" x14ac:dyDescent="0.3">
      <c r="U120" s="1">
        <v>20</v>
      </c>
      <c r="V120" s="1"/>
    </row>
    <row r="121" spans="21:22" x14ac:dyDescent="0.3">
      <c r="U121" s="1">
        <v>13</v>
      </c>
      <c r="V121" s="1"/>
    </row>
    <row r="122" spans="21:22" x14ac:dyDescent="0.3">
      <c r="U122" s="1">
        <v>23</v>
      </c>
      <c r="V122" s="1"/>
    </row>
    <row r="123" spans="21:22" x14ac:dyDescent="0.3">
      <c r="U123" s="1">
        <v>20</v>
      </c>
      <c r="V123" s="1"/>
    </row>
    <row r="124" spans="21:22" x14ac:dyDescent="0.3">
      <c r="U124" s="1">
        <v>23</v>
      </c>
      <c r="V124" s="1"/>
    </row>
    <row r="125" spans="21:22" x14ac:dyDescent="0.3">
      <c r="U125" s="1">
        <v>18</v>
      </c>
      <c r="V125" s="1"/>
    </row>
    <row r="126" spans="21:22" x14ac:dyDescent="0.3">
      <c r="U126" s="1">
        <v>19</v>
      </c>
      <c r="V126" s="1"/>
    </row>
    <row r="127" spans="21:22" x14ac:dyDescent="0.3">
      <c r="U127" s="1">
        <v>25</v>
      </c>
      <c r="V127" s="1"/>
    </row>
    <row r="128" spans="21:22" x14ac:dyDescent="0.3">
      <c r="U128" s="1">
        <v>26</v>
      </c>
      <c r="V128" s="1"/>
    </row>
    <row r="129" spans="21:22" x14ac:dyDescent="0.3">
      <c r="U129" s="1">
        <v>18</v>
      </c>
      <c r="V129" s="1"/>
    </row>
    <row r="130" spans="21:22" x14ac:dyDescent="0.3">
      <c r="U130" s="1">
        <v>16</v>
      </c>
      <c r="V130" s="1"/>
    </row>
    <row r="131" spans="21:22" x14ac:dyDescent="0.3">
      <c r="U131" s="1">
        <v>16</v>
      </c>
      <c r="V131" s="1"/>
    </row>
    <row r="132" spans="21:22" x14ac:dyDescent="0.3">
      <c r="U132" s="1">
        <v>15</v>
      </c>
      <c r="V132" s="1"/>
    </row>
    <row r="133" spans="21:22" x14ac:dyDescent="0.3">
      <c r="U133" s="1">
        <v>22</v>
      </c>
      <c r="V133" s="1"/>
    </row>
    <row r="134" spans="21:22" x14ac:dyDescent="0.3">
      <c r="U134" s="1">
        <v>22</v>
      </c>
      <c r="V134" s="1"/>
    </row>
    <row r="135" spans="21:22" x14ac:dyDescent="0.3">
      <c r="U135" s="1">
        <v>24</v>
      </c>
      <c r="V135" s="1"/>
    </row>
    <row r="136" spans="21:22" x14ac:dyDescent="0.3">
      <c r="U136" s="1">
        <v>23</v>
      </c>
      <c r="V136" s="1"/>
    </row>
    <row r="137" spans="21:22" x14ac:dyDescent="0.3">
      <c r="U137" s="1">
        <v>29</v>
      </c>
      <c r="V137" s="1"/>
    </row>
    <row r="138" spans="21:22" x14ac:dyDescent="0.3">
      <c r="U138" s="1">
        <v>25</v>
      </c>
      <c r="V138" s="1"/>
    </row>
    <row r="139" spans="21:22" x14ac:dyDescent="0.3">
      <c r="U139" s="1">
        <v>20</v>
      </c>
      <c r="V139" s="1"/>
    </row>
    <row r="140" spans="21:22" x14ac:dyDescent="0.3">
      <c r="U140" s="1">
        <v>18</v>
      </c>
      <c r="V140" s="1"/>
    </row>
    <row r="141" spans="21:22" x14ac:dyDescent="0.3">
      <c r="U141" s="1">
        <v>19</v>
      </c>
      <c r="V141" s="1"/>
    </row>
    <row r="142" spans="21:22" x14ac:dyDescent="0.3">
      <c r="U142" s="1">
        <v>18</v>
      </c>
      <c r="V142" s="1"/>
    </row>
    <row r="143" spans="21:22" x14ac:dyDescent="0.3">
      <c r="U143" s="1">
        <v>27</v>
      </c>
      <c r="V143" s="1"/>
    </row>
    <row r="144" spans="21:22" x14ac:dyDescent="0.3">
      <c r="U144" s="1">
        <v>13</v>
      </c>
      <c r="V144" s="1"/>
    </row>
    <row r="145" spans="21:22" x14ac:dyDescent="0.3">
      <c r="U145" s="1">
        <v>17</v>
      </c>
      <c r="V145" s="1"/>
    </row>
    <row r="146" spans="21:22" x14ac:dyDescent="0.3">
      <c r="U146" s="1">
        <v>13</v>
      </c>
      <c r="V146" s="1"/>
    </row>
    <row r="147" spans="21:22" x14ac:dyDescent="0.3">
      <c r="U147" s="1">
        <v>13</v>
      </c>
      <c r="V147" s="1"/>
    </row>
    <row r="148" spans="21:22" x14ac:dyDescent="0.3">
      <c r="U148" s="1">
        <v>13</v>
      </c>
      <c r="V148" s="1"/>
    </row>
    <row r="149" spans="21:22" x14ac:dyDescent="0.3">
      <c r="U149" s="1">
        <v>30</v>
      </c>
      <c r="V149" s="1"/>
    </row>
    <row r="150" spans="21:22" x14ac:dyDescent="0.3">
      <c r="U150" s="1">
        <v>26</v>
      </c>
      <c r="V150" s="1"/>
    </row>
    <row r="151" spans="21:22" x14ac:dyDescent="0.3">
      <c r="U151" s="1">
        <v>18</v>
      </c>
      <c r="V151" s="1"/>
    </row>
    <row r="152" spans="21:22" x14ac:dyDescent="0.3">
      <c r="U152" s="1">
        <v>17</v>
      </c>
      <c r="V152" s="1"/>
    </row>
    <row r="153" spans="21:22" x14ac:dyDescent="0.3">
      <c r="U153" s="1">
        <v>16</v>
      </c>
      <c r="V153" s="1"/>
    </row>
    <row r="154" spans="21:22" x14ac:dyDescent="0.3">
      <c r="U154" s="1">
        <v>15</v>
      </c>
      <c r="V154" s="1"/>
    </row>
    <row r="155" spans="21:22" x14ac:dyDescent="0.3">
      <c r="U155" s="1">
        <v>18</v>
      </c>
      <c r="V155" s="1"/>
    </row>
    <row r="156" spans="21:22" x14ac:dyDescent="0.3">
      <c r="U156" s="1">
        <v>21</v>
      </c>
      <c r="V156" s="1"/>
    </row>
    <row r="157" spans="21:22" x14ac:dyDescent="0.3">
      <c r="U157" s="1">
        <v>19</v>
      </c>
      <c r="V157" s="1"/>
    </row>
    <row r="158" spans="21:22" x14ac:dyDescent="0.3">
      <c r="U158" s="1">
        <v>19</v>
      </c>
      <c r="V158" s="1"/>
    </row>
    <row r="159" spans="21:22" x14ac:dyDescent="0.3">
      <c r="U159" s="1">
        <v>16</v>
      </c>
      <c r="V159" s="1"/>
    </row>
    <row r="160" spans="21:22" x14ac:dyDescent="0.3">
      <c r="U160" s="1">
        <v>16</v>
      </c>
      <c r="V160" s="1"/>
    </row>
    <row r="161" spans="21:22" x14ac:dyDescent="0.3">
      <c r="U161" s="1">
        <v>16</v>
      </c>
      <c r="V161" s="1"/>
    </row>
    <row r="162" spans="21:22" x14ac:dyDescent="0.3">
      <c r="U162" s="1">
        <v>16</v>
      </c>
      <c r="V162" s="1"/>
    </row>
    <row r="163" spans="21:22" x14ac:dyDescent="0.3">
      <c r="U163" s="1">
        <v>25</v>
      </c>
      <c r="V163" s="1"/>
    </row>
    <row r="164" spans="21:22" x14ac:dyDescent="0.3">
      <c r="U164" s="1">
        <v>26</v>
      </c>
      <c r="V164" s="1"/>
    </row>
    <row r="165" spans="21:22" x14ac:dyDescent="0.3">
      <c r="U165" s="1">
        <v>31</v>
      </c>
      <c r="V165" s="1"/>
    </row>
    <row r="166" spans="21:22" x14ac:dyDescent="0.3">
      <c r="U166" s="1">
        <v>34</v>
      </c>
      <c r="V166" s="1"/>
    </row>
    <row r="167" spans="21:22" x14ac:dyDescent="0.3">
      <c r="U167" s="1">
        <v>36</v>
      </c>
      <c r="V167" s="1"/>
    </row>
    <row r="168" spans="21:22" x14ac:dyDescent="0.3">
      <c r="U168" s="1">
        <v>20</v>
      </c>
      <c r="V168" s="1"/>
    </row>
    <row r="169" spans="21:22" x14ac:dyDescent="0.3">
      <c r="U169" s="1">
        <v>19</v>
      </c>
      <c r="V169" s="1"/>
    </row>
    <row r="170" spans="21:22" x14ac:dyDescent="0.3">
      <c r="U170" s="1">
        <v>20</v>
      </c>
      <c r="V170" s="1"/>
    </row>
    <row r="171" spans="21:22" x14ac:dyDescent="0.3">
      <c r="U171" s="1">
        <v>19</v>
      </c>
      <c r="V171" s="1"/>
    </row>
    <row r="172" spans="21:22" x14ac:dyDescent="0.3">
      <c r="U172" s="1">
        <v>21</v>
      </c>
      <c r="V172" s="1"/>
    </row>
    <row r="173" spans="21:22" x14ac:dyDescent="0.3">
      <c r="U173" s="1">
        <v>20</v>
      </c>
      <c r="V173" s="1"/>
    </row>
    <row r="174" spans="21:22" x14ac:dyDescent="0.3">
      <c r="U174" s="1">
        <v>25</v>
      </c>
      <c r="V174" s="1"/>
    </row>
    <row r="175" spans="21:22" x14ac:dyDescent="0.3">
      <c r="U175" s="1">
        <v>21</v>
      </c>
      <c r="V175" s="1"/>
    </row>
    <row r="176" spans="21:22" x14ac:dyDescent="0.3">
      <c r="U176" s="1">
        <v>19</v>
      </c>
      <c r="V176" s="1"/>
    </row>
    <row r="177" spans="21:22" x14ac:dyDescent="0.3">
      <c r="U177" s="1">
        <v>21</v>
      </c>
      <c r="V177" s="1"/>
    </row>
    <row r="178" spans="21:22" x14ac:dyDescent="0.3">
      <c r="U178" s="1">
        <v>21</v>
      </c>
      <c r="V178" s="1"/>
    </row>
    <row r="179" spans="21:22" x14ac:dyDescent="0.3">
      <c r="U179" s="1">
        <v>19</v>
      </c>
      <c r="V179" s="1"/>
    </row>
    <row r="180" spans="21:22" x14ac:dyDescent="0.3">
      <c r="U180" s="1">
        <v>18</v>
      </c>
      <c r="V180" s="1"/>
    </row>
    <row r="181" spans="21:22" x14ac:dyDescent="0.3">
      <c r="U181" s="1">
        <v>19</v>
      </c>
      <c r="V181" s="1"/>
    </row>
    <row r="182" spans="21:22" x14ac:dyDescent="0.3">
      <c r="U182" s="1">
        <v>18</v>
      </c>
      <c r="V182" s="1"/>
    </row>
    <row r="183" spans="21:22" x14ac:dyDescent="0.3">
      <c r="U183" s="1">
        <v>18</v>
      </c>
      <c r="V183" s="1"/>
    </row>
    <row r="184" spans="21:22" x14ac:dyDescent="0.3">
      <c r="U184" s="1">
        <v>18</v>
      </c>
      <c r="V184" s="1"/>
    </row>
    <row r="185" spans="21:22" x14ac:dyDescent="0.3">
      <c r="U185" s="1">
        <v>30</v>
      </c>
      <c r="V185" s="1"/>
    </row>
    <row r="186" spans="21:22" x14ac:dyDescent="0.3">
      <c r="U186" s="1">
        <v>31</v>
      </c>
      <c r="V186" s="1"/>
    </row>
    <row r="187" spans="21:22" x14ac:dyDescent="0.3">
      <c r="U187" s="1">
        <v>23</v>
      </c>
      <c r="V187" s="1"/>
    </row>
    <row r="188" spans="21:22" x14ac:dyDescent="0.3">
      <c r="U188" s="1">
        <v>24</v>
      </c>
      <c r="V188" s="1"/>
    </row>
    <row r="189" spans="21:22" x14ac:dyDescent="0.3">
      <c r="U189" s="1">
        <v>22</v>
      </c>
      <c r="V189" s="1"/>
    </row>
    <row r="190" spans="21:22" x14ac:dyDescent="0.3">
      <c r="U190" s="1">
        <v>20</v>
      </c>
      <c r="V190" s="1"/>
    </row>
    <row r="191" spans="21:22" x14ac:dyDescent="0.3">
      <c r="U191" s="1">
        <v>22</v>
      </c>
      <c r="V191" s="1"/>
    </row>
    <row r="192" spans="21:22" x14ac:dyDescent="0.3">
      <c r="U192" s="1">
        <v>20</v>
      </c>
      <c r="V192" s="1"/>
    </row>
    <row r="193" spans="21:22" x14ac:dyDescent="0.3">
      <c r="U193" s="1">
        <v>21</v>
      </c>
      <c r="V193" s="1"/>
    </row>
    <row r="194" spans="21:22" x14ac:dyDescent="0.3">
      <c r="U194" s="1">
        <v>17</v>
      </c>
      <c r="V194" s="1"/>
    </row>
    <row r="195" spans="21:22" x14ac:dyDescent="0.3">
      <c r="U195" s="1">
        <v>18</v>
      </c>
      <c r="V195" s="1"/>
    </row>
    <row r="196" spans="21:22" x14ac:dyDescent="0.3">
      <c r="U196" s="1">
        <v>17</v>
      </c>
      <c r="V196" s="1"/>
    </row>
    <row r="197" spans="21:22" x14ac:dyDescent="0.3">
      <c r="U197" s="1">
        <v>18</v>
      </c>
      <c r="V197" s="1"/>
    </row>
    <row r="198" spans="21:22" x14ac:dyDescent="0.3">
      <c r="U198" s="1">
        <v>17</v>
      </c>
      <c r="V198" s="1"/>
    </row>
    <row r="199" spans="21:22" x14ac:dyDescent="0.3">
      <c r="U199" s="1">
        <v>16</v>
      </c>
      <c r="V199" s="1"/>
    </row>
    <row r="200" spans="21:22" x14ac:dyDescent="0.3">
      <c r="U200" s="1">
        <v>19</v>
      </c>
      <c r="V200" s="1"/>
    </row>
    <row r="201" spans="21:22" x14ac:dyDescent="0.3">
      <c r="U201" s="1">
        <v>19</v>
      </c>
      <c r="V201" s="1"/>
    </row>
    <row r="202" spans="21:22" x14ac:dyDescent="0.3">
      <c r="U202" s="1">
        <v>36</v>
      </c>
      <c r="V202" s="1"/>
    </row>
    <row r="203" spans="21:22" x14ac:dyDescent="0.3">
      <c r="U203" s="1">
        <v>27</v>
      </c>
      <c r="V203" s="1"/>
    </row>
    <row r="204" spans="21:22" x14ac:dyDescent="0.3">
      <c r="U204" s="1">
        <v>23</v>
      </c>
      <c r="V204" s="1"/>
    </row>
    <row r="205" spans="21:22" x14ac:dyDescent="0.3">
      <c r="U205" s="1">
        <v>24</v>
      </c>
      <c r="V205" s="1"/>
    </row>
    <row r="206" spans="21:22" x14ac:dyDescent="0.3">
      <c r="U206" s="1">
        <v>34</v>
      </c>
      <c r="V206" s="1"/>
    </row>
    <row r="207" spans="21:22" x14ac:dyDescent="0.3">
      <c r="U207" s="1">
        <v>35</v>
      </c>
      <c r="V207" s="1"/>
    </row>
    <row r="208" spans="21:22" x14ac:dyDescent="0.3">
      <c r="U208" s="1">
        <v>28</v>
      </c>
      <c r="V208" s="1"/>
    </row>
    <row r="209" spans="21:22" x14ac:dyDescent="0.3">
      <c r="U209" s="1">
        <v>29</v>
      </c>
      <c r="V209" s="1"/>
    </row>
    <row r="210" spans="21:22" x14ac:dyDescent="0.3">
      <c r="U210" s="1">
        <v>27</v>
      </c>
      <c r="V210" s="1"/>
    </row>
    <row r="211" spans="21:22" x14ac:dyDescent="0.3">
      <c r="U211" s="1">
        <v>34</v>
      </c>
      <c r="V211" s="1"/>
    </row>
    <row r="212" spans="21:22" x14ac:dyDescent="0.3">
      <c r="U212" s="1">
        <v>32</v>
      </c>
      <c r="V212" s="1"/>
    </row>
    <row r="213" spans="21:22" x14ac:dyDescent="0.3">
      <c r="U213" s="1">
        <v>28</v>
      </c>
      <c r="V213" s="1"/>
    </row>
    <row r="214" spans="21:22" x14ac:dyDescent="0.3">
      <c r="U214" s="1">
        <v>26</v>
      </c>
      <c r="V214" s="1"/>
    </row>
    <row r="215" spans="21:22" x14ac:dyDescent="0.3">
      <c r="U215" s="1">
        <v>24</v>
      </c>
      <c r="V215" s="1"/>
    </row>
    <row r="216" spans="21:22" x14ac:dyDescent="0.3">
      <c r="U216" s="1">
        <v>19</v>
      </c>
      <c r="V216" s="1"/>
    </row>
    <row r="217" spans="21:22" x14ac:dyDescent="0.3">
      <c r="U217" s="1">
        <v>28</v>
      </c>
      <c r="V217" s="1"/>
    </row>
    <row r="218" spans="21:22" x14ac:dyDescent="0.3">
      <c r="U218" s="1">
        <v>24</v>
      </c>
      <c r="V218" s="1"/>
    </row>
    <row r="219" spans="21:22" x14ac:dyDescent="0.3">
      <c r="U219" s="1">
        <v>27</v>
      </c>
      <c r="V219" s="1"/>
    </row>
    <row r="220" spans="21:22" x14ac:dyDescent="0.3">
      <c r="U220" s="1">
        <v>27</v>
      </c>
      <c r="V220" s="1"/>
    </row>
    <row r="221" spans="21:22" x14ac:dyDescent="0.3">
      <c r="U221" s="1">
        <v>26</v>
      </c>
      <c r="V221" s="1"/>
    </row>
    <row r="222" spans="21:22" x14ac:dyDescent="0.3">
      <c r="U222" s="1">
        <v>24</v>
      </c>
      <c r="V222" s="1"/>
    </row>
    <row r="223" spans="21:22" x14ac:dyDescent="0.3">
      <c r="U223" s="1">
        <v>30</v>
      </c>
      <c r="V223" s="1"/>
    </row>
    <row r="224" spans="21:22" x14ac:dyDescent="0.3">
      <c r="U224" s="1">
        <v>39</v>
      </c>
      <c r="V224" s="1"/>
    </row>
    <row r="225" spans="21:22" x14ac:dyDescent="0.3">
      <c r="U225" s="1">
        <v>35</v>
      </c>
      <c r="V225" s="1"/>
    </row>
    <row r="226" spans="21:22" x14ac:dyDescent="0.3">
      <c r="U226" s="1">
        <v>34</v>
      </c>
      <c r="V226" s="1"/>
    </row>
    <row r="227" spans="21:22" x14ac:dyDescent="0.3">
      <c r="U227" s="1">
        <v>30</v>
      </c>
      <c r="V227" s="1"/>
    </row>
    <row r="228" spans="21:22" x14ac:dyDescent="0.3">
      <c r="U228" s="1">
        <v>22</v>
      </c>
      <c r="V228" s="1"/>
    </row>
    <row r="229" spans="21:22" x14ac:dyDescent="0.3">
      <c r="U229" s="1">
        <v>27</v>
      </c>
      <c r="V229" s="1"/>
    </row>
    <row r="230" spans="21:22" x14ac:dyDescent="0.3">
      <c r="U230" s="1">
        <v>20</v>
      </c>
      <c r="V230" s="1"/>
    </row>
    <row r="231" spans="21:22" x14ac:dyDescent="0.3">
      <c r="U231" s="1">
        <v>18</v>
      </c>
      <c r="V231" s="1"/>
    </row>
    <row r="232" spans="21:22" x14ac:dyDescent="0.3">
      <c r="U232" s="1">
        <v>28</v>
      </c>
      <c r="V232" s="1"/>
    </row>
    <row r="233" spans="21:22" x14ac:dyDescent="0.3">
      <c r="U233" s="1">
        <v>27</v>
      </c>
      <c r="V233" s="1"/>
    </row>
    <row r="234" spans="21:22" x14ac:dyDescent="0.3">
      <c r="U234" s="1">
        <v>34</v>
      </c>
      <c r="V234" s="1"/>
    </row>
    <row r="235" spans="21:22" x14ac:dyDescent="0.3">
      <c r="U235" s="1">
        <v>31</v>
      </c>
      <c r="V235" s="1"/>
    </row>
    <row r="236" spans="21:22" x14ac:dyDescent="0.3">
      <c r="U236" s="1">
        <v>29</v>
      </c>
      <c r="V236" s="1"/>
    </row>
    <row r="237" spans="21:22" x14ac:dyDescent="0.3">
      <c r="U237" s="1">
        <v>27</v>
      </c>
      <c r="V237" s="1"/>
    </row>
    <row r="238" spans="21:22" x14ac:dyDescent="0.3">
      <c r="U238" s="1">
        <v>24</v>
      </c>
      <c r="V238" s="1"/>
    </row>
    <row r="239" spans="21:22" x14ac:dyDescent="0.3">
      <c r="U239" s="1">
        <v>23</v>
      </c>
      <c r="V239" s="1"/>
    </row>
    <row r="240" spans="21:22" x14ac:dyDescent="0.3">
      <c r="U240" s="1">
        <v>38</v>
      </c>
      <c r="V240" s="1"/>
    </row>
    <row r="241" spans="21:22" x14ac:dyDescent="0.3">
      <c r="U241" s="1">
        <v>36</v>
      </c>
      <c r="V241" s="1"/>
    </row>
    <row r="242" spans="21:22" x14ac:dyDescent="0.3">
      <c r="U242" s="1">
        <v>25</v>
      </c>
      <c r="V242" s="1"/>
    </row>
    <row r="243" spans="21:22" x14ac:dyDescent="0.3">
      <c r="U243" s="1">
        <v>38</v>
      </c>
      <c r="V243" s="1"/>
    </row>
    <row r="244" spans="21:22" x14ac:dyDescent="0.3">
      <c r="U244" s="1">
        <v>26</v>
      </c>
      <c r="V244" s="1"/>
    </row>
    <row r="245" spans="21:22" x14ac:dyDescent="0.3">
      <c r="U245" s="1">
        <v>22</v>
      </c>
      <c r="V245" s="1"/>
    </row>
    <row r="246" spans="21:22" x14ac:dyDescent="0.3">
      <c r="U246" s="1">
        <v>36</v>
      </c>
      <c r="V246" s="1"/>
    </row>
    <row r="247" spans="21:22" x14ac:dyDescent="0.3">
      <c r="U247" s="1">
        <v>27</v>
      </c>
      <c r="V247" s="1"/>
    </row>
    <row r="248" spans="21:22" x14ac:dyDescent="0.3">
      <c r="U248" s="1">
        <v>27</v>
      </c>
      <c r="V248" s="1"/>
    </row>
    <row r="249" spans="21:22" x14ac:dyDescent="0.3">
      <c r="U249" s="1">
        <v>32</v>
      </c>
      <c r="V249" s="1"/>
    </row>
    <row r="250" spans="21:22" x14ac:dyDescent="0.3">
      <c r="U250" s="1">
        <v>28</v>
      </c>
      <c r="V250" s="1"/>
    </row>
    <row r="251" spans="21:22" x14ac:dyDescent="0.3">
      <c r="U251" s="1">
        <v>31</v>
      </c>
      <c r="V251" s="1"/>
    </row>
  </sheetData>
  <conditionalFormatting sqref="I3:I8">
    <cfRule type="cellIs" dxfId="17" priority="7" operator="equal">
      <formula>"PASSED"</formula>
    </cfRule>
    <cfRule type="cellIs" dxfId="16" priority="8" operator="equal">
      <formula>"FAILED"</formula>
    </cfRule>
    <cfRule type="cellIs" dxfId="15" priority="9" operator="equal">
      <formula>"PASSED"</formula>
    </cfRule>
  </conditionalFormatting>
  <conditionalFormatting sqref="S3:S8">
    <cfRule type="cellIs" dxfId="14" priority="4" operator="equal">
      <formula>"PASSED"</formula>
    </cfRule>
    <cfRule type="cellIs" dxfId="13" priority="5" operator="equal">
      <formula>"FAILED"</formula>
    </cfRule>
    <cfRule type="cellIs" dxfId="12" priority="6" operator="equal">
      <formula>"PASSED"</formula>
    </cfRule>
  </conditionalFormatting>
  <conditionalFormatting sqref="AB3:AB11">
    <cfRule type="cellIs" dxfId="11" priority="1" operator="equal">
      <formula>"PASSED"</formula>
    </cfRule>
    <cfRule type="cellIs" dxfId="10" priority="2" operator="equal">
      <formula>"FAILED"</formula>
    </cfRule>
    <cfRule type="cellIs" dxfId="9" priority="3" operator="equal">
      <formula>"PASSED"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D104-CEF9-4B48-817B-993773EE5027}">
  <dimension ref="B2:AB13"/>
  <sheetViews>
    <sheetView workbookViewId="0"/>
  </sheetViews>
  <sheetFormatPr defaultRowHeight="14.4" x14ac:dyDescent="0.3"/>
  <cols>
    <col min="1" max="1" width="4.44140625" customWidth="1"/>
    <col min="4" max="4" width="4.44140625" customWidth="1"/>
    <col min="7" max="7" width="4.5546875" customWidth="1"/>
    <col min="10" max="10" width="4.5546875" customWidth="1"/>
    <col min="11" max="11" width="7" customWidth="1"/>
    <col min="12" max="12" width="5.109375" customWidth="1"/>
    <col min="14" max="14" width="4.44140625" customWidth="1"/>
    <col min="17" max="17" width="5.5546875" customWidth="1"/>
    <col min="20" max="20" width="5.21875" customWidth="1"/>
    <col min="23" max="23" width="4.88671875" customWidth="1"/>
    <col min="25" max="25" width="15.21875" customWidth="1"/>
    <col min="26" max="26" width="4.88671875" customWidth="1"/>
    <col min="27" max="27" width="15.77734375" customWidth="1"/>
  </cols>
  <sheetData>
    <row r="2" spans="2:28" x14ac:dyDescent="0.3">
      <c r="B2" s="3" t="s">
        <v>9</v>
      </c>
      <c r="C2" s="3"/>
      <c r="E2" s="3" t="s">
        <v>10</v>
      </c>
      <c r="F2" s="3"/>
      <c r="H2" s="3" t="s">
        <v>10</v>
      </c>
      <c r="I2" s="3"/>
      <c r="K2" s="1"/>
      <c r="L2" s="1"/>
      <c r="M2" s="4" t="s">
        <v>30</v>
      </c>
      <c r="O2" s="3" t="s">
        <v>10</v>
      </c>
      <c r="P2" s="3"/>
      <c r="R2" s="3" t="s">
        <v>10</v>
      </c>
      <c r="S2" s="3"/>
      <c r="U2" s="3" t="s">
        <v>31</v>
      </c>
      <c r="V2" s="3" t="s">
        <v>32</v>
      </c>
      <c r="X2" s="3" t="s">
        <v>10</v>
      </c>
      <c r="Y2" s="3"/>
      <c r="AA2" s="3" t="s">
        <v>10</v>
      </c>
      <c r="AB2" s="3"/>
    </row>
    <row r="3" spans="2:28" x14ac:dyDescent="0.3">
      <c r="B3" s="5" t="s">
        <v>4</v>
      </c>
      <c r="C3" s="1">
        <v>5</v>
      </c>
      <c r="E3" s="6" t="str">
        <f t="array" ref="E3:F7">_xll.StatisticalFunctions.SummaryDataZTest(C3,C4,C5,C6)</f>
        <v>z</v>
      </c>
      <c r="F3" s="9">
        <v>1.2894056580462898</v>
      </c>
      <c r="H3" s="9">
        <v>1.2894056580462898</v>
      </c>
      <c r="I3" t="str">
        <f>IF(ROUND(H3,6)-ROUND(F3,6)=0, "PASSED", "FAILED")</f>
        <v>PASSED</v>
      </c>
      <c r="K3" s="5" t="s">
        <v>4</v>
      </c>
      <c r="L3" s="7">
        <v>3</v>
      </c>
      <c r="M3" s="1">
        <v>3</v>
      </c>
      <c r="O3" s="5" t="str">
        <f t="array" ref="O3:P7">_xll.StatisticalFunctions.OneSampleZTest(L3,M3:M12)</f>
        <v>z</v>
      </c>
      <c r="P3" s="9">
        <v>1.3789156793307651</v>
      </c>
      <c r="R3" s="9">
        <v>1.3789156793307651</v>
      </c>
      <c r="S3" t="str">
        <f>IF(ROUND(R3,6)-ROUND(P3,6)=0, "PASSED", "FAILED")</f>
        <v>PASSED</v>
      </c>
      <c r="U3" s="1">
        <v>7.8</v>
      </c>
      <c r="V3" s="1">
        <v>4.5</v>
      </c>
      <c r="X3" s="5" t="str">
        <f t="array" ref="X3:Y10">_xll.StatisticalFunctions.TwoSampleZTest(U3:U13,V3:V10)</f>
        <v>z</v>
      </c>
      <c r="Y3" s="8">
        <v>6.1280815146654328</v>
      </c>
      <c r="AA3" s="9">
        <v>6.1280815146654328</v>
      </c>
      <c r="AB3" t="str">
        <f>IF(ROUND(AA3,6)-ROUND(Y3,6)=0, "PASSED", "FAILED")</f>
        <v>PASSED</v>
      </c>
    </row>
    <row r="4" spans="2:28" x14ac:dyDescent="0.3">
      <c r="B4" s="5" t="s">
        <v>5</v>
      </c>
      <c r="C4" s="1">
        <v>6.7</v>
      </c>
      <c r="E4" s="5" t="str">
        <v>sx1</v>
      </c>
      <c r="F4" s="1">
        <v>7.1</v>
      </c>
      <c r="H4" s="1">
        <v>7.1</v>
      </c>
      <c r="I4" t="str">
        <f>IF(ROUND(H4,6)-ROUND(F4,6)=0, "PASSED", "FAILED")</f>
        <v>PASSED</v>
      </c>
      <c r="K4" s="1"/>
      <c r="L4" s="1"/>
      <c r="M4" s="1">
        <v>7</v>
      </c>
      <c r="O4" s="5" t="str">
        <v>sx1</v>
      </c>
      <c r="P4" s="9">
        <v>3.4399612400917157</v>
      </c>
      <c r="R4" s="9">
        <v>3.4399612400917157</v>
      </c>
      <c r="S4" t="str">
        <f>IF(ROUND(R4,6)-ROUND(P4,6)=0, "PASSED", "FAILED")</f>
        <v>PASSED</v>
      </c>
      <c r="U4" s="1">
        <v>6.6</v>
      </c>
      <c r="V4" s="1">
        <v>5.4</v>
      </c>
      <c r="X4" s="5" t="str">
        <v>sx1</v>
      </c>
      <c r="Y4" s="8">
        <v>0.46436662631627995</v>
      </c>
      <c r="AA4" s="9">
        <v>0.4643666263162799</v>
      </c>
      <c r="AB4" t="str">
        <f>IF(ROUND(AA4,6)-ROUND(Y4,6)=0, "PASSED", "FAILED")</f>
        <v>PASSED</v>
      </c>
    </row>
    <row r="5" spans="2:28" x14ac:dyDescent="0.3">
      <c r="B5" s="5" t="s">
        <v>6</v>
      </c>
      <c r="C5" s="1">
        <v>7.1</v>
      </c>
      <c r="E5" s="5" t="str">
        <v>pval</v>
      </c>
      <c r="F5" s="9">
        <v>0.19725709541241007</v>
      </c>
      <c r="H5" s="9">
        <v>0.19725709541241007</v>
      </c>
      <c r="I5" t="str">
        <f>IF(ROUND(H5,6)-ROUND(F5,6)=0, "PASSED", "FAILED")</f>
        <v>PASSED</v>
      </c>
      <c r="K5" s="1"/>
      <c r="L5" s="1"/>
      <c r="M5" s="1">
        <v>11</v>
      </c>
      <c r="O5" s="5" t="str">
        <v>pval</v>
      </c>
      <c r="P5" s="9">
        <v>0.16792075329459236</v>
      </c>
      <c r="R5" s="9">
        <v>0.16792075329459236</v>
      </c>
      <c r="S5" t="str">
        <f>IF(ROUND(R5,6)-ROUND(P5,6)=0, "PASSED", "FAILED")</f>
        <v>PASSED</v>
      </c>
      <c r="U5" s="1">
        <v>6.5</v>
      </c>
      <c r="V5" s="1">
        <v>6.1</v>
      </c>
      <c r="X5" s="5" t="str">
        <v>pval</v>
      </c>
      <c r="Y5" s="19">
        <v>8.8945016827014396E-10</v>
      </c>
      <c r="AA5" s="20">
        <v>8.8945016827014396E-10</v>
      </c>
      <c r="AB5" t="str">
        <f>IF(ROUND(AA5,6)-ROUND(Y5,6)=0, "PASSED", "FAILED")</f>
        <v>PASSED</v>
      </c>
    </row>
    <row r="6" spans="2:28" x14ac:dyDescent="0.3">
      <c r="B6" s="5" t="s">
        <v>7</v>
      </c>
      <c r="C6" s="1">
        <v>29</v>
      </c>
      <c r="E6" s="5" t="str">
        <v>x1-bar</v>
      </c>
      <c r="F6" s="1">
        <v>6.7</v>
      </c>
      <c r="H6" s="1">
        <v>6.7</v>
      </c>
      <c r="I6" t="str">
        <f>IF(ROUND(H6,6)-ROUND(F6,6)=0, "PASSED", "FAILED")</f>
        <v>PASSED</v>
      </c>
      <c r="K6" s="1"/>
      <c r="L6" s="1"/>
      <c r="M6" s="1">
        <v>0</v>
      </c>
      <c r="O6" s="5" t="str">
        <v>x1-bar</v>
      </c>
      <c r="P6" s="1">
        <v>4.5</v>
      </c>
      <c r="R6" s="1">
        <v>4.5</v>
      </c>
      <c r="S6" t="str">
        <f>IF(ROUND(R6,6)-ROUND(P6,6)=0, "PASSED", "FAILED")</f>
        <v>PASSED</v>
      </c>
      <c r="U6" s="1">
        <v>7.4</v>
      </c>
      <c r="V6" s="1">
        <v>6.1</v>
      </c>
      <c r="X6" s="5" t="str">
        <v>x1-bar</v>
      </c>
      <c r="Y6" s="8">
        <v>7.0181818181818167</v>
      </c>
      <c r="AA6" s="9">
        <v>7.0181818181818167</v>
      </c>
      <c r="AB6" t="str">
        <f>IF(ROUND(AA6,6)-ROUND(Y6,6)=0, "PASSED", "FAILED")</f>
        <v>PASSED</v>
      </c>
    </row>
    <row r="7" spans="2:28" x14ac:dyDescent="0.3">
      <c r="E7" s="5" t="str">
        <v>n1</v>
      </c>
      <c r="F7" s="1">
        <v>29</v>
      </c>
      <c r="H7" s="1">
        <v>29</v>
      </c>
      <c r="I7" t="str">
        <f>IF(ROUND(H7,6)-ROUND(F7,6)=0, "PASSED", "FAILED")</f>
        <v>PASSED</v>
      </c>
      <c r="K7" s="1"/>
      <c r="L7" s="1"/>
      <c r="M7" s="1">
        <v>7</v>
      </c>
      <c r="O7" s="5" t="str">
        <v>n1</v>
      </c>
      <c r="P7" s="1">
        <v>10</v>
      </c>
      <c r="R7" s="1">
        <v>10</v>
      </c>
      <c r="S7" t="str">
        <f>IF(ROUND(R7,6)-ROUND(P7,6)=0, "PASSED", "FAILED")</f>
        <v>PASSED</v>
      </c>
      <c r="U7" s="1">
        <v>7.3</v>
      </c>
      <c r="V7" s="1">
        <v>5.4</v>
      </c>
      <c r="X7" s="5" t="str">
        <v>n1</v>
      </c>
      <c r="Y7" s="8">
        <v>11</v>
      </c>
      <c r="AA7" s="9">
        <v>11</v>
      </c>
      <c r="AB7" t="str">
        <f>IF(ROUND(AA7,6)-ROUND(Y7,6)=0, "PASSED", "FAILED")</f>
        <v>PASSED</v>
      </c>
    </row>
    <row r="8" spans="2:28" x14ac:dyDescent="0.3">
      <c r="E8" s="16"/>
      <c r="K8" s="1"/>
      <c r="L8" s="1"/>
      <c r="M8" s="1">
        <v>0</v>
      </c>
      <c r="O8" s="16"/>
      <c r="U8" s="1">
        <v>7</v>
      </c>
      <c r="V8" s="1">
        <v>5</v>
      </c>
      <c r="X8" s="5" t="str">
        <v>x2-bar</v>
      </c>
      <c r="Y8" s="8">
        <v>5.2625000000000002</v>
      </c>
      <c r="AA8" s="9">
        <v>5.2625000000000002</v>
      </c>
      <c r="AB8" t="str">
        <f>IF(ROUND(AA8,6)-ROUND(Y8,6)=0, "PASSED", "FAILED")</f>
        <v>PASSED</v>
      </c>
    </row>
    <row r="9" spans="2:28" x14ac:dyDescent="0.3">
      <c r="K9" s="1"/>
      <c r="L9" s="1"/>
      <c r="M9" s="1">
        <v>4</v>
      </c>
      <c r="O9" s="13" t="s">
        <v>33</v>
      </c>
      <c r="P9" s="14">
        <f>2*_xlfn.Z.TEST(M3:M12,L3)</f>
        <v>0.16792075329459233</v>
      </c>
      <c r="U9" s="1">
        <v>6.4</v>
      </c>
      <c r="V9" s="1">
        <v>4.0999999999999996</v>
      </c>
      <c r="X9" s="5" t="str">
        <v>sx2</v>
      </c>
      <c r="Y9" s="8">
        <v>0.70698050084244091</v>
      </c>
      <c r="AA9" s="9">
        <v>0.70698050084244091</v>
      </c>
      <c r="AB9" t="str">
        <f>IF(ROUND(AA9,6)-ROUND(Y9,6)=0, "PASSED", "FAILED")</f>
        <v>PASSED</v>
      </c>
    </row>
    <row r="10" spans="2:28" x14ac:dyDescent="0.3">
      <c r="K10" s="1"/>
      <c r="L10" s="1"/>
      <c r="M10" s="1">
        <v>5</v>
      </c>
      <c r="U10" s="1">
        <v>7.1</v>
      </c>
      <c r="V10" s="1">
        <v>5.5</v>
      </c>
      <c r="X10" s="5" t="str">
        <v>n2</v>
      </c>
      <c r="Y10" s="8">
        <v>8</v>
      </c>
      <c r="AA10" s="9">
        <v>8</v>
      </c>
      <c r="AB10" t="str">
        <f>IF(ROUND(AA10,6)-ROUND(Y10,6)=0, "PASSED", "FAILED")</f>
        <v>PASSED</v>
      </c>
    </row>
    <row r="11" spans="2:28" x14ac:dyDescent="0.3">
      <c r="K11" s="1"/>
      <c r="L11" s="1"/>
      <c r="M11" s="1">
        <v>6</v>
      </c>
      <c r="U11" s="1">
        <v>6.7</v>
      </c>
      <c r="X11" s="16"/>
      <c r="Y11" s="17"/>
      <c r="AA11" s="18"/>
    </row>
    <row r="12" spans="2:28" x14ac:dyDescent="0.3">
      <c r="K12" s="1"/>
      <c r="L12" s="1"/>
      <c r="M12" s="1">
        <v>2</v>
      </c>
      <c r="U12" s="1">
        <v>7.6</v>
      </c>
    </row>
    <row r="13" spans="2:28" x14ac:dyDescent="0.3">
      <c r="U13" s="1">
        <v>6.8</v>
      </c>
    </row>
  </sheetData>
  <conditionalFormatting sqref="I3:I8">
    <cfRule type="cellIs" dxfId="8" priority="7" operator="equal">
      <formula>"PASSED"</formula>
    </cfRule>
    <cfRule type="cellIs" dxfId="7" priority="8" operator="equal">
      <formula>"FAILED"</formula>
    </cfRule>
    <cfRule type="cellIs" dxfId="6" priority="9" operator="equal">
      <formula>"PASSED"</formula>
    </cfRule>
  </conditionalFormatting>
  <conditionalFormatting sqref="S3:S8">
    <cfRule type="cellIs" dxfId="5" priority="4" operator="equal">
      <formula>"PASSED"</formula>
    </cfRule>
    <cfRule type="cellIs" dxfId="4" priority="5" operator="equal">
      <formula>"FAILED"</formula>
    </cfRule>
    <cfRule type="cellIs" dxfId="3" priority="6" operator="equal">
      <formula>"PASSED"</formula>
    </cfRule>
  </conditionalFormatting>
  <conditionalFormatting sqref="AB3:AB11">
    <cfRule type="cellIs" dxfId="2" priority="1" operator="equal">
      <formula>"PASSED"</formula>
    </cfRule>
    <cfRule type="cellIs" dxfId="1" priority="2" operator="equal">
      <formula>"FAILED"</formula>
    </cfRule>
    <cfRule type="cellIs" dxfId="0" priority="3" operator="equal">
      <formula>"PASSED"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Basic Functionality</vt:lpstr>
      <vt:lpstr>Time Series</vt:lpstr>
      <vt:lpstr>Statistical Tests 1</vt:lpstr>
      <vt:lpstr>Statistical Tests 2</vt:lpstr>
      <vt:lpstr>xs</vt:lpstr>
      <vt:lpstr>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2021-04-14T15:30:55Z</dcterms:created>
  <dcterms:modified xsi:type="dcterms:W3CDTF">2026-05-25T10:21:22Z</dcterms:modified>
</cp:coreProperties>
</file>